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edro_Dutra\Downloads\Revisão Otavio\Updated\EFDF x EFDC x NFE - RECEITA_V1.1.7-20250212T104130Z-001\EFDF x EFDC x NFE - RECEITA_V1.1.8\Assets\Templates\"/>
    </mc:Choice>
  </mc:AlternateContent>
  <xr:revisionPtr documentId="13_ncr:1_{C2F7A421-63B5-4951-8439-54D18386D522}" revIDLastSave="0" xr10:uidLastSave="{00000000-0000-0000-0000-000000000000}" xr6:coauthVersionLast="47" xr6:coauthVersionMax="47"/>
  <bookViews>
    <workbookView windowHeight="15720" windowWidth="29040" xWindow="-120" xr2:uid="{0ADF2AA3-B1FB-454D-B562-8A654A0F672E}" yWindow="-120"/>
  </bookViews>
  <sheets>
    <sheet name="ÍNDICE" r:id="rId1" sheetId="1"/>
    <sheet name="PARÂMETROS" r:id="rId2" sheetId="16"/>
    <sheet name="CFOP Considerados" r:id="rId3" sheetId="17"/>
    <sheet name="CONFRONTO - ANUAL" r:id="rId4" sheetId="6"/>
    <sheet name="CONFRONTO - TRIMESTRAL" r:id="rId5" sheetId="18"/>
    <sheet name="CONFRONTO - CONSOLIDAÇÃO" r:id="rId6" sheetId="19"/>
    <sheet name="CONFRONTO - ANALITICO" r:id="rId7" sheetId="7"/>
  </sheets>
  <definedNames>
    <definedName hidden="1" localSheetId="6" name="_xlnm._FilterDatabase">'CONFRONTO - ANALITICO'!$B$11:$L$11</definedName>
    <definedName hidden="1" localSheetId="3" name="_xlnm._FilterDatabase">'CONFRONTO - ANUAL'!$B$11:$H$11</definedName>
    <definedName hidden="1" localSheetId="5" name="_xlnm._FilterDatabase">'CONFRONTO - CONSOLIDAÇÃO'!$B$11:$H$11</definedName>
    <definedName hidden="1" localSheetId="4" name="_xlnm._FilterDatabase">'CONFRONTO - TRIMESTRAL'!$B$11:$I$11</definedName>
  </definedName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6" l="1"/>
  <c r="G9" i="6"/>
  <c r="F9" i="6"/>
  <c r="E9" i="6"/>
  <c r="D9" i="6"/>
  <c r="C9" i="6"/>
  <c r="I9" i="18"/>
  <c r="H9" i="18"/>
  <c r="G9" i="18"/>
  <c r="F9" i="18"/>
  <c r="E9" i="18"/>
  <c r="D9" i="18"/>
  <c r="B6" i="19"/>
  <c r="H9" i="19"/>
  <c r="G9" i="19"/>
  <c r="F9" i="19"/>
  <c r="E9" i="19"/>
  <c r="D9" i="19"/>
  <c r="C9" i="19"/>
  <c r="B6" i="18"/>
  <c r="B6" i="17"/>
  <c r="B6" i="16"/>
  <c r="J9" i="7"/>
  <c r="L9" i="7"/>
  <c r="K9" i="7"/>
  <c r="I9" i="7"/>
  <c r="G9" i="7"/>
  <c r="E9" i="7"/>
  <c r="B6" i="7"/>
  <c r="B6" i="6"/>
</calcChain>
</file>

<file path=xl/sharedStrings.xml><?xml version="1.0" encoding="utf-8"?>
<sst xmlns="http://schemas.openxmlformats.org/spreadsheetml/2006/main" count="289" uniqueCount="164">
  <si>
    <t>NOME DA EMPRESA</t>
  </si>
  <si>
    <t>SHEET</t>
  </si>
  <si>
    <t>Período</t>
  </si>
  <si>
    <t>Check - XML x ICMS IPI</t>
  </si>
  <si>
    <t>A</t>
  </si>
  <si>
    <t>B</t>
  </si>
  <si>
    <t>C</t>
  </si>
  <si>
    <t>A - B</t>
  </si>
  <si>
    <t>A - C</t>
  </si>
  <si>
    <t>B - C</t>
  </si>
  <si>
    <t>XML NFE</t>
  </si>
  <si>
    <t>EFD ICMS IPI</t>
  </si>
  <si>
    <t>EFD CONTRIBUIÇÕES</t>
  </si>
  <si>
    <t>Check - XML x CONTRIBUIÇÕES</t>
  </si>
  <si>
    <t>Check - ICMS IPI x CONTRIBUIÇÕES</t>
  </si>
  <si>
    <t>Cruzamento - XML x EFD ICMS IPI x EFD CONTRIBUIÇÕES</t>
  </si>
  <si>
    <t>CHAVE NFE</t>
  </si>
  <si>
    <t>VL_NFE</t>
  </si>
  <si>
    <t>D</t>
  </si>
  <si>
    <t>E</t>
  </si>
  <si>
    <t>F</t>
  </si>
  <si>
    <t>CONFRONTO - ANALITICO</t>
  </si>
  <si>
    <t>CFOP</t>
  </si>
  <si>
    <t>ÍNDICE</t>
  </si>
  <si>
    <t>VL EFD ICMS IPI</t>
  </si>
  <si>
    <t>VL EFD CONTRIBUIÇÕES</t>
  </si>
  <si>
    <t>Status NF</t>
  </si>
  <si>
    <t>PARÂMETROS</t>
  </si>
  <si>
    <t>Arquivo</t>
  </si>
  <si>
    <t>Ref</t>
  </si>
  <si>
    <t>1.</t>
  </si>
  <si>
    <t>NF-e</t>
  </si>
  <si>
    <t>Descrição</t>
  </si>
  <si>
    <t>Modelo 55 emitidas pelo contribuinte</t>
  </si>
  <si>
    <t>2.</t>
  </si>
  <si>
    <t>VENDAS DE PRODUÇÃO PRÓPRIA OU DE TERCEIROS</t>
  </si>
  <si>
    <t>Venda de produção do estabelecimento</t>
  </si>
  <si>
    <t>Venda de mercadoria adquirida ou recebida de terceiros</t>
  </si>
  <si>
    <t>Venda de produção do estabelecimento, efetuada fora do estabelecimento</t>
  </si>
  <si>
    <t>Venda de mercadoria adquirida ou recebida de terceiros, efetuada fora do estabelecimento</t>
  </si>
  <si>
    <t>Venda de produção do estabelecimento, que não deva por ele transitar</t>
  </si>
  <si>
    <t>Venda de mercadoria adquirida ou recebida de terceiros, que não deva por ele transitar</t>
  </si>
  <si>
    <t>Venda de produção do estabelecimento, destinada à Zona Franca de Manaus ou Áreas de Livre Comércio</t>
  </si>
  <si>
    <t>Venda de mercadoria adquirida ou recebida de terceiros, destinada à Zona Franca de Manaus ou Áreas de Livre Comércio</t>
  </si>
  <si>
    <t>Venda de produção do estabelecimento remetida anteriormente em consignação industrial</t>
  </si>
  <si>
    <t>Venda de mercadoria adquirida ou recebida de terceiros remetida anteriormente em consignação industrial</t>
  </si>
  <si>
    <t>Venda de produção do estabelecimento remetida anteriormente em consignação mercantil</t>
  </si>
  <si>
    <t>Venda de mercadoria adquirida ou recebida de terceiros remetida anteriormente em consignação mercantil</t>
  </si>
  <si>
    <t>Venda de mercadoria adquirida ou recebida de terceiros, recebida anteriormente em consignação mercantil</t>
  </si>
  <si>
    <t>Venda de produção do estabelecimento originada de encomenda para entrega futura</t>
  </si>
  <si>
    <t>Venda de mercadoria adquirida ou recebida de terceiros, originada de encomenda para entrega futura</t>
  </si>
  <si>
    <t>Venda de produção do estabelecimento entregue ao destinatário por conta e ordem do adquirente originário, em venda à ordem</t>
  </si>
  <si>
    <t>Venda de mercadoria adquirida ou recebida de terceiros entregue ao destinatário por conta e ordem do adquirente originário, em venda à ordem</t>
  </si>
  <si>
    <t>Venda de mercadoria adquirida ou recebida de terceiros entregue ao destinatário pelo vendedor remetente, em venda à ordem</t>
  </si>
  <si>
    <t>Venda de produção do estabelecimento remetida para industrialização, por conta e ordem do adquirente,sem transitar pelo estabelecimento do adquirente</t>
  </si>
  <si>
    <t>Venda de mercadoria adquirida ou recebida de terceiros remetida para industrialização, por conta e ordem do adquirente, sem transitar pelo estabelecimento do adquirente</t>
  </si>
  <si>
    <t>Industrialização efetuada para outra empresa</t>
  </si>
  <si>
    <t>Industrialização efetuada para outra empresa quando a mercadoria recebida para utilização no processo de industrialização não transitar pelo estabelecimento adquirente da mercadoria</t>
  </si>
  <si>
    <t>Venda de insumo importado e de mercadoria industrializada sob o amparo do Recof-Sped</t>
  </si>
  <si>
    <t>Fixação de preço de produção do estabelecimento, inclusive quando remetidas anteriormente com previsão de posterior ajuste ou fixação de preço de ato cooperativo</t>
  </si>
  <si>
    <t>Fornecimento de produção do estabelecimento de ato cooperativo</t>
  </si>
  <si>
    <t>Fornecimento de mercadoria adquirida ou recebida de terceiros de ato cooperativo</t>
  </si>
  <si>
    <t>Venda de energia elétrica para distribuição ou comercialização</t>
  </si>
  <si>
    <t>Venda de energia elétrica para estabelecimento industrial</t>
  </si>
  <si>
    <t>Venda de energia elétrica para estabelecimento comercial</t>
  </si>
  <si>
    <t>Venda de energia elétrica para estabelecimento prestador de serviço de transporte</t>
  </si>
  <si>
    <t>Venda de energia elétrica para estabelecimento prestador de serviço de comunicação</t>
  </si>
  <si>
    <t>Venda de energia elétrica para estabelecimento de produtor rural</t>
  </si>
  <si>
    <t>Venda de energia elétrica para consumo por demanda contratada</t>
  </si>
  <si>
    <t>Venda de energia elétrica a não contribuinte</t>
  </si>
  <si>
    <t>Prestação de serviço de comunicação para execução de serviço da mesma natureza</t>
  </si>
  <si>
    <t>Prestação de serviço de comunicação a estabelecimento industrial</t>
  </si>
  <si>
    <t>Prestação de serviço de comunicação a estabelecimento comercial</t>
  </si>
  <si>
    <t>Prestação de serviço de comunicação a estabelecimento de prestador de serviço de transporte</t>
  </si>
  <si>
    <t>Prestação de serviço de comunicação a estabelecimento de geradora ou de distribuidora de energia elétrica</t>
  </si>
  <si>
    <t>Prestação de serviço de comunicação a estabelecimento de produtor rural</t>
  </si>
  <si>
    <t>Prestação de serviço de comunicação a não contribuinte</t>
  </si>
  <si>
    <t>Prestação de serviço de transporte para execução de serviço da mesma natureza</t>
  </si>
  <si>
    <t>Prestação de serviço de transporte a estabelecimento industrial</t>
  </si>
  <si>
    <t>Prestação de serviço de transporte a estabelecimento comercial</t>
  </si>
  <si>
    <t>Prestação de serviço de transporte a estabelecimento de prestador de serviço de comunicação</t>
  </si>
  <si>
    <t>Prestação de serviço de transporte a estabelecimento de geradora ou de distribuidora de energia elétrica</t>
  </si>
  <si>
    <t>Prestação de serviço de transporte a estabelecimento de produtor rural</t>
  </si>
  <si>
    <t>Prestação de serviço de transporte a não contribuinte</t>
  </si>
  <si>
    <t>Prestação de serviço de transporte a contribuinte ou a não-contribuinte, quando a mercadoria transportada esteja dispensada de emissão de Nota Fiscal</t>
  </si>
  <si>
    <t>Prestação de serviço de transporte a contribuinte-substituto em relação ao serviço de transporte (ACR)</t>
  </si>
  <si>
    <t>Venda de produção do estabelecimento em operação com produto sujeito ao regime de substituição tributária, na condição de contribuinte substituto</t>
  </si>
  <si>
    <t>Venda de produção do estabelecimento de produto sujeito ao regime de substituição tributária, em operação entre contribuintes substitutos do mesmo produto</t>
  </si>
  <si>
    <t>Venda de mercadoria adquirida ou recebida de terceiros em operação com mercadoria sujeita ao regime de substituição tributária, na condição de contribuinte substituto</t>
  </si>
  <si>
    <t>Venda de mercadoria adquirida ou recebida de terceiros em operação com mercadoria sujeita ao regime de substituição tributária, na condição de contribuinte substituído</t>
  </si>
  <si>
    <t>Saída referente a remuneração do produtor - Sistema de Integração e Parceria Rural</t>
  </si>
  <si>
    <t>Remessa de produção do estabelecimento, com fim específico de exportação</t>
  </si>
  <si>
    <t>Remessa de mercadoria adquirida ou recebida de terceiros, com fim específico de exportação</t>
  </si>
  <si>
    <t>Venda de combustível ou lubrificante de produção do estabelecimento destinados à industrialização subseqüente</t>
  </si>
  <si>
    <t>Venda de combustível ou lubrificante, de produção do estabelecimento, destinados à comercialização</t>
  </si>
  <si>
    <t>Venda de combustível ou lubrificante, de produção do estabelecimento, destinados a consumidor ou usuário final</t>
  </si>
  <si>
    <t>Venda de combustível ou lubrificante, adquiridos ou recebidos de terceiros, destinados à industrialização subseqüente</t>
  </si>
  <si>
    <t>Venda de combustível ou lubrificante, adquiridos ou recebidos de terceiros, destinados à comercialização</t>
  </si>
  <si>
    <t>Venda de combustível ou lubrificante, adquiridos ou recebidos de terceiros, destinados a consumidor ou usuário final</t>
  </si>
  <si>
    <t>Venda de combustível ou lubrificante a consumidor ou usuário final estabelecido em outra unidade da Federação</t>
  </si>
  <si>
    <t>Prestação de serviço de transporte iniciada em unidade da Federação diversa daquela onde inscrito o prestador</t>
  </si>
  <si>
    <t>Prestação de serviço tributado pelo Imposto Sobre Serviços de Qualquer Natureza</t>
  </si>
  <si>
    <t>Venda de produção do estabelecimento, destinada a não contribuinte</t>
  </si>
  <si>
    <t>Venda de mercadoria adquirida ou recebida de terceiros, destinada a não contribuinte</t>
  </si>
  <si>
    <t>Venda de produção do estabelecimento remetida para industrialização, por conta e ordem do adquirente, sem transitar pelo estabelecimento do adquirente</t>
  </si>
  <si>
    <t>Fixação de preço de produção do estabelecimento, inclusive quando remetidas anteriormente com previsão de posterior ajuste ou fixação de preço ou fixação de preço de ato cooperativo</t>
  </si>
  <si>
    <t>CFOPs considerados, conforme link https://www.gov.br/receitafederal/pt-br/acesso-a-informacao/acoes-e-programas/facilitacao/anexo-ecf-cfop</t>
  </si>
  <si>
    <t>3.</t>
  </si>
  <si>
    <t>O cálculo do valor das notas fiscais utilizou a seguinte fórmula: (+) Valor dos Produtos e Serviços (–) descontos (+) frete (+) seguros (+) outros (–) ICMS desonerado</t>
  </si>
  <si>
    <t>4.</t>
  </si>
  <si>
    <t>Considerados apenas as operações com situação regular - COD_SIT = "00"</t>
  </si>
  <si>
    <t>Registro C190: “Valor da Operação” subtraído do “Valor ICMS Substituição Tributária” e “Valor IPI”</t>
  </si>
  <si>
    <t xml:space="preserve">Registros C320, C390, C490, C590, C690, C790, C850, C890, D190, D410, D590, D690, D696: Apenas o “Valor da Operação”, sem descontos. </t>
  </si>
  <si>
    <t>5.</t>
  </si>
  <si>
    <t>6.</t>
  </si>
  <si>
    <t>7.</t>
  </si>
  <si>
    <t>EFD Contribuições</t>
  </si>
  <si>
    <t>VL_ITEM dos registros A170, cujo valor do campo IND_OPER do registro A100 seja igual a “1”,</t>
  </si>
  <si>
    <t>Quando o valor do campo 02 (COD_CONT) for igual a 01, 51, 02, 52, 31 ou 32, o valor do campo será igual à soma dos seguintes campos (quando o CST da operação vinculada for 01, 02, 03, 04, 05 com alíquota diferente de zero)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</si>
  <si>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</si>
  <si>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</si>
  <si>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</si>
  <si>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</si>
  <si>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</si>
  <si>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</si>
  <si>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</si>
  <si>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</si>
  <si>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</si>
  <si>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</si>
  <si>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</si>
  <si>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</si>
  <si>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</si>
  <si>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VL_ITEM dos registros C170, cujo valor do campo COD_MOD seja diferente de 55 (NFe) ou quando o valor do campo COD_MOD seja igual a 55 e o valor do campo IND_ESCRI do registro C010 seja igual a 2. Em ambos casos o valor do campo IND_OPER do registro C100 deve ser igual a “1”</t>
  </si>
  <si>
    <t>VL_DOC dos registros D300</t>
  </si>
  <si>
    <t>VL_BRT do registro D350</t>
  </si>
  <si>
    <t>VL_OPR do registro C175</t>
  </si>
  <si>
    <t>VL_OPER do registro F100, cujo valor do campo IND_OPER seja igual a “1” ou “2”</t>
  </si>
  <si>
    <t>VL_TOT_REC do registro F200</t>
  </si>
  <si>
    <t>VL_REC_CAIXA do registro F500 e F510</t>
  </si>
  <si>
    <t>VL_REC_COMP do registro F550 e F560</t>
  </si>
  <si>
    <t>VL_REC do registro I100</t>
  </si>
  <si>
    <t xml:space="preserve">VL_ITEM dos registros C385, C601, C870, C880, D205, D605, C381, C601, D201, D601, </t>
  </si>
  <si>
    <t>VL_ITEM dos registros C481 e C485 , quando o valor do campo do campo IND_ESCRI do registro C010 seja igual a 2</t>
  </si>
  <si>
    <t>VL_ITEM dos registros C181, C185, C491 e C495, quando o valor do campo IND_ESCRI do registro C010 seja igual a 1</t>
  </si>
  <si>
    <t>Prestação de serviço de transporte a contribuinte substituto em relação ao serviço de transporte</t>
  </si>
  <si>
    <t>Venda de mercadoria sujeita ao regime de substituição tributária, cujo imposto já tenha sido retido anteriormente</t>
  </si>
  <si>
    <t>Venda de combustível ou lubrificante, de produção do estabelecimento, destinados à industrialização subseqüente</t>
  </si>
  <si>
    <t>Venda de combustível ou lubrificante a consumidor ou usuário final estabelecido em outra unidade da Federação diferente da que ocorrer o consumo</t>
  </si>
  <si>
    <t>Venda de produção do estabelecimento sob o regime de ?drawback?</t>
  </si>
  <si>
    <t>Venda de produção do estabelecimento ao mercado externo de mercadoria industrializada sob o amparo do Recof-Sped</t>
  </si>
  <si>
    <t>Prestação de serviço de transporte</t>
  </si>
  <si>
    <t>Exportação de mercadorias recebidas com fim específico de exportação</t>
  </si>
  <si>
    <t>Exportação de mercadoria que foi objeto de formação de lote de exportação</t>
  </si>
  <si>
    <t>Venda de combustível ou lubrificante de produção do estabelecimento</t>
  </si>
  <si>
    <t>Venda de combustível ou lubrificante adquiridos ou recebidos de terceiros</t>
  </si>
  <si>
    <t>Venda de combustível ou lubrificante a consumidor ou usuário final</t>
  </si>
  <si>
    <t>CFOP Considerados</t>
  </si>
  <si>
    <t>CFOPs CONSIDERADOS</t>
  </si>
  <si>
    <t>Fonte: https://www.gov.br/receitafederal/pt-br/acesso-a-informacao/acoes-e-programas/facilitacao/2023/ecf</t>
  </si>
  <si>
    <t>Ano</t>
  </si>
  <si>
    <t>Trimestre</t>
  </si>
  <si>
    <t>CONFRONTO - ANUAL</t>
  </si>
  <si>
    <t>CONFRONTO - TRIMESTRAL</t>
  </si>
  <si>
    <t>CONFRONTO - CONSOLIDAÇÃO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</si>
</sst>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formatCode="_-* #,##0.00_-;\-* #,##0.00_-;_-* &quot;-&quot;??_-;_-@_-" numFmtId="43"/>
    <numFmt formatCode="[$-F800]dddd\,\ mmmm\ dd\,\ yyyy" numFmtId="164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641E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641E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FF641E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3">
    <xf borderId="0" fillId="0" fontId="0" numFmtId="0"/>
    <xf applyAlignment="0" applyBorder="0" applyFill="0" applyFont="0" applyProtection="0" borderId="0" fillId="0" fontId="4" numFmtId="43"/>
    <xf applyAlignment="0" applyBorder="0" applyFill="0" applyNumberFormat="0" applyProtection="0" borderId="0" fillId="0" fontId="5" numFmtId="0"/>
  </cellStyleXfs>
  <cellXfs count="34">
    <xf borderId="0" fillId="0" fontId="0" numFmtId="0" xfId="0"/>
    <xf applyFont="1" borderId="0" fillId="0" fontId="2" numFmtId="0" xfId="0"/>
    <xf applyAlignment="1" applyFont="1" borderId="0" fillId="0" fontId="3" numFmtId="0" xfId="0">
      <alignment horizontal="left" vertical="center"/>
    </xf>
    <xf applyAlignment="1" applyBorder="1" applyFill="1" applyFont="1" applyNumberFormat="1" borderId="1" fillId="2" fontId="2" numFmtId="49" xfId="0">
      <alignment horizontal="left" vertical="center"/>
    </xf>
    <xf applyAlignment="1" applyFill="1" applyFont="1" applyProtection="1" borderId="0" fillId="3" fontId="1" numFmtId="0" xfId="0">
      <alignment horizontal="left"/>
      <protection locked="0"/>
    </xf>
    <xf applyAlignment="1" applyBorder="1" applyFont="1" applyNumberFormat="1" borderId="0" fillId="0" fontId="0" numFmtId="2" xfId="1">
      <alignment horizontal="center" vertical="center"/>
    </xf>
    <xf applyAlignment="1" applyFill="1" applyFont="1" applyNumberFormat="1" borderId="0" fillId="2" fontId="2" numFmtId="49" xfId="0">
      <alignment horizontal="left" vertical="center"/>
    </xf>
    <xf applyAlignment="1" applyFill="1" applyFont="1" applyProtection="1" borderId="0" fillId="3" fontId="1" numFmtId="0" xfId="0">
      <alignment horizontal="center" vertical="center"/>
      <protection locked="0"/>
    </xf>
    <xf applyAlignment="1" applyFill="1" applyFont="1" applyProtection="1" borderId="0" fillId="4" fontId="3" numFmtId="0" xfId="0">
      <alignment horizontal="center" vertical="center"/>
      <protection locked="0"/>
    </xf>
    <xf applyAlignment="1" applyFont="1" borderId="0" fillId="0" fontId="3" numFmtId="0" xfId="0">
      <alignment horizontal="center" vertical="center"/>
    </xf>
    <xf borderId="0" fillId="0" fontId="5" numFmtId="0" xfId="2"/>
    <xf borderId="0" fillId="0" fontId="5" numFmtId="0" quotePrefix="1" xfId="2"/>
    <xf applyNumberFormat="1" borderId="0" fillId="0" fontId="0" numFmtId="2" xfId="0"/>
    <xf applyAlignment="1" applyFont="1" borderId="0" fillId="0" fontId="2" numFmtId="0" xfId="0">
      <alignment horizontal="center"/>
    </xf>
    <xf applyAlignment="1" applyBorder="1" applyFill="1" applyFont="1" applyProtection="1" borderId="2" fillId="3" fontId="1" numFmtId="0" xfId="0">
      <alignment horizontal="center"/>
      <protection locked="0"/>
    </xf>
    <xf applyAlignment="1" applyBorder="1" applyFill="1" applyFont="1" applyProtection="1" borderId="3" fillId="3" fontId="1" numFmtId="0" xfId="0">
      <alignment horizontal="center"/>
      <protection locked="0"/>
    </xf>
    <xf applyAlignment="1" applyBorder="1" applyFill="1" applyFont="1" applyProtection="1" borderId="4" fillId="3" fontId="1" numFmtId="0" xfId="0">
      <alignment horizontal="center"/>
      <protection locked="0"/>
    </xf>
    <xf applyAlignment="1" borderId="0" fillId="0" fontId="0" numFmtId="0" xfId="0">
      <alignment wrapText="1"/>
    </xf>
    <xf applyAlignment="1" applyFont="1" borderId="0" fillId="0" fontId="2" numFmtId="0" xfId="0">
      <alignment horizontal="center" vertical="center"/>
    </xf>
    <xf applyAlignment="1" applyFont="1" borderId="0" fillId="0" fontId="2" numFmtId="0" xfId="0">
      <alignment horizontal="center" vertical="center" wrapText="1"/>
    </xf>
    <xf applyAlignment="1" borderId="0" fillId="0" fontId="0" numFmtId="0" xfId="0">
      <alignment vertical="center" wrapText="1"/>
    </xf>
    <xf applyAlignment="1" applyBorder="1" applyFill="1" applyFont="1" applyNumberFormat="1" borderId="1" fillId="2" fontId="2" numFmtId="49" xfId="0">
      <alignment horizontal="left" vertical="center" wrapText="1"/>
    </xf>
    <xf applyAlignment="1" applyBorder="1" applyFill="1" applyFont="1" applyProtection="1" borderId="4" fillId="3" fontId="1" numFmtId="0" xfId="0">
      <alignment horizontal="center" wrapText="1"/>
      <protection locked="0"/>
    </xf>
    <xf applyAlignment="1" borderId="0" fillId="0" fontId="5" numFmtId="0" xfId="2">
      <alignment vertical="center" wrapText="1"/>
    </xf>
    <xf applyFont="1" borderId="0" fillId="0" fontId="6" numFmtId="0" xfId="0"/>
    <xf applyNumberFormat="1" borderId="0" fillId="0" fontId="0" numFmtId="49" xfId="0"/>
    <xf applyFont="1" applyNumberFormat="1" borderId="0" fillId="0" fontId="2" numFmtId="49" xfId="0"/>
    <xf applyAlignment="1" applyFont="1" applyNumberFormat="1" borderId="0" fillId="0" fontId="3" numFmtId="49" xfId="0">
      <alignment horizontal="left" vertical="center"/>
    </xf>
    <xf applyAlignment="1" applyFont="1" applyNumberFormat="1" borderId="0" fillId="0" fontId="3" numFmtId="49" xfId="0">
      <alignment horizontal="center" vertical="center"/>
    </xf>
    <xf applyAlignment="1" applyFill="1" applyFont="1" applyNumberFormat="1" applyProtection="1" borderId="0" fillId="3" fontId="1" numFmtId="49" xfId="0">
      <alignment horizontal="center" vertical="center"/>
      <protection locked="0"/>
    </xf>
    <xf applyAlignment="1" applyBorder="1" applyFont="1" applyNumberFormat="1" borderId="0" fillId="0" fontId="0" numFmtId="49" xfId="1">
      <alignment horizontal="center" vertical="center"/>
    </xf>
    <xf applyAlignment="1" applyNumberFormat="1" borderId="0" fillId="0" fontId="0" numFmtId="164" xfId="0">
      <alignment horizontal="center" vertical="center"/>
    </xf>
    <xf applyNumberFormat="1" borderId="0" fillId="0" fontId="0" numFmtId="14" xfId="0"/>
    <xf applyNumberFormat="1" borderId="0" fillId="0" fontId="0" numFmtId="0" xfId="0"/>
  </cellXfs>
  <cellStyles count="3">
    <cellStyle builtinId="3" name="Comma" xfId="1"/>
    <cellStyle builtinId="8" name="Hyperlink" xfId="2"/>
    <cellStyle builtinId="0" name="Normal" xfId="0"/>
  </cellStyles>
  <dxfs count="7">
    <dxf>
      <numFmt formatCode="_(* #,##0.00_);_(* \(#,##0.00\);_(* &quot;-&quot;_);@_)" numFmtId="165"/>
    </dxf>
    <dxf>
      <numFmt formatCode="_(* #,##0.00_);_(* \(#,##0.00\);_(* &quot;-&quot;_);@_)" numFmtId="165"/>
    </dxf>
    <dxf>
      <numFmt formatCode="_(* #,##0.00_);_(* \(#,##0.00\);_(* &quot;-&quot;_);@_)" numFmtId="165"/>
    </dxf>
    <dxf>
      <numFmt formatCode="_(* #,##0.00_);_(* \(#,##0.00\);_(* &quot;-&quot;_);@_)" numFmtId="165"/>
    </dxf>
    <dxf>
      <numFmt formatCode="_(* #,##0.00_);_(* \(#,##0.00\);_(* &quot;-&quot;_);@_)" numFmtId="165"/>
    </dxf>
    <dxf>
      <numFmt formatCode="_(* #,##0.00_);_(* \(#,##0.00\);_(* &quot;-&quot;_);@_)" numFmtId="165"/>
    </dxf>
    <dxf>
      <numFmt formatCode="_(* #,##0.00_);_(* \(#,##0.00\);_(* &quot;-&quot;_);@_)" numFmtId="165"/>
    </dxf>
  </dxfs>
  <tableStyles count="0" defaultPivotStyle="PivotStyleLight16" defaultTableStyle="TableStyleMedium2"/>
  <colors>
    <mruColors>
      <color rgb="FFFF64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3446409</xdr:colOff>
      <xdr:row>4</xdr:row>
      <xdr:rowOff>7660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3AB27D4A-627B-4F3F-840C-057994EAAA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42875" y="0"/>
          <a:ext cx="3484509" cy="7220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895297</xdr:colOff>
      <xdr:row>4</xdr:row>
      <xdr:rowOff>10835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3DEF368-9B48-4B09-87D8-F48F91FBB3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42875" y="0"/>
          <a:ext cx="3490859" cy="7220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2047028</xdr:colOff>
      <xdr:row>4</xdr:row>
      <xdr:rowOff>10835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id="{A652A2D3-B650-4623-BA5B-E0FFDF3532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78594" y="0"/>
          <a:ext cx="3484509" cy="7220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607166</xdr:colOff>
      <xdr:row>4</xdr:row>
      <xdr:rowOff>7660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008E1ACA-C91E-4130-9266-7F62CC1041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78594" y="0"/>
          <a:ext cx="3488478" cy="7220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610341</xdr:colOff>
      <xdr:row>4</xdr:row>
      <xdr:rowOff>7660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EEEF6677-F88B-4F92-BF2E-2125F2BBD3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42875" y="0"/>
          <a:ext cx="3491653" cy="7252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607959</xdr:colOff>
      <xdr:row>4</xdr:row>
      <xdr:rowOff>10835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FEA7B9CA-272F-4152-8230-8D2F8C682B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82563" y="0"/>
          <a:ext cx="3497209" cy="7379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2052584</xdr:colOff>
      <xdr:row>4</xdr:row>
      <xdr:rowOff>7660</xdr:rowOff>
    </xdr:to>
    <xdr:pic>
      <xdr:nvPicPr>
        <xdr:cNvPr id="3" name="Imagem 1">
          <a:extLst>
            <a:ext uri="{FF2B5EF4-FFF2-40B4-BE49-F238E27FC236}">
              <a16:creationId xmlns:a16="http://schemas.microsoft.com/office/drawing/2014/main" id="{E50E94AE-A40B-456F-8694-255B82BFAB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82" t="40413" b="41023"/>
        <a:stretch/>
      </xdr:blipFill>
      <xdr:spPr>
        <a:xfrm>
          <a:off x="178594" y="0"/>
          <a:ext cx="3493240" cy="7220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83A32-6205-4DE9-BFC6-A654BA889C03}">
  <sheetPr codeName="Sheet1"/>
  <dimension ref="B6:B17"/>
  <sheetViews>
    <sheetView showGridLines="0" tabSelected="1" zoomScale="80" zoomScaleNormal="80" workbookViewId="0">
      <selection activeCell="B11" sqref="B11"/>
    </sheetView>
  </sheetViews>
  <sheetFormatPr defaultRowHeight="15" x14ac:dyDescent="0.25"/>
  <cols>
    <col min="1" max="1" width="2.5703125" customWidth="1"/>
    <col min="2" max="2" width="51.7109375" customWidth="1"/>
  </cols>
  <sheetData>
    <row r="6" spans="2:2" x14ac:dyDescent="0.25">
      <c r="B6" s="1" t="s">
        <v>0</v>
      </c>
    </row>
    <row r="7" spans="2:2" x14ac:dyDescent="0.25">
      <c r="B7" s="2" t="s">
        <v>23</v>
      </c>
    </row>
    <row r="9" spans="2:2" x14ac:dyDescent="0.25">
      <c r="B9" s="3"/>
    </row>
    <row r="11" spans="2:2" x14ac:dyDescent="0.25">
      <c r="B11" s="4" t="s">
        <v>1</v>
      </c>
    </row>
    <row r="12" spans="2:2" x14ac:dyDescent="0.25">
      <c r="B12" s="10" t="s">
        <v>27</v>
      </c>
    </row>
    <row r="13" spans="2:2" x14ac:dyDescent="0.25">
      <c r="B13" s="10" t="s">
        <v>156</v>
      </c>
    </row>
    <row r="14" spans="2:2" x14ac:dyDescent="0.25">
      <c r="B14" s="10" t="s">
        <v>161</v>
      </c>
    </row>
    <row r="15" spans="2:2" x14ac:dyDescent="0.25">
      <c r="B15" s="10" t="s">
        <v>162</v>
      </c>
    </row>
    <row r="16" spans="2:2" x14ac:dyDescent="0.25">
      <c r="B16" s="11" t="s">
        <v>163</v>
      </c>
    </row>
    <row r="17" spans="2:2" x14ac:dyDescent="0.25">
      <c r="B17" s="11" t="s">
        <v>21</v>
      </c>
    </row>
  </sheetData>
  <hyperlinks>
    <hyperlink ref="B14" location="'CONFRONTO - ANUAL'!B11" display="CONFRONTO - ANUAL" xr:uid="{CA73AEAC-1350-4A10-9F8C-DBE4657C787A}"/>
    <hyperlink ref="B17" location="'CONFRONTO - ANALITICO'!B11" display="CONFRONTO - ANALITICO" xr:uid="{F644FBF8-81E6-4AEE-890D-A8B1556032DA}"/>
    <hyperlink ref="B12" location="PARÂMETROS!B11" display="PARÂMETROS" xr:uid="{A65372D6-D316-4F5E-A3C0-588489CB12A2}"/>
    <hyperlink ref="B13" location="'CFOP Considerados'!B11" display="CFOP Considerados" xr:uid="{CA2D46AE-EE07-43A6-81B8-75241B2DA2DE}"/>
    <hyperlink ref="B15" location="'CONFRONTO - TRIMESTRAL'!B11" display="CONFRONTO - TRIMESTRAL" xr:uid="{8CA42DF4-8D5D-4777-93C7-3B25C72FF987}"/>
    <hyperlink ref="B16" location="'CONFRONTO - CONSOLIDAÇÃO'!B11" display="CONFRONTO - CONSOLIDAÇÃO" xr:uid="{2BC5E829-D582-4171-B400-3EB970CF7BB4}"/>
  </hyperlink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79FF-14F8-4316-88F1-77D901E42813}">
  <dimension ref="B6:D31"/>
  <sheetViews>
    <sheetView showGridLines="0" zoomScale="80" zoomScaleNormal="80" workbookViewId="0">
      <selection activeCell="B11" sqref="B11"/>
    </sheetView>
  </sheetViews>
  <sheetFormatPr defaultRowHeight="15" x14ac:dyDescent="0.25"/>
  <cols>
    <col min="1" max="1" width="2.5703125" customWidth="1"/>
    <col min="2" max="2" width="20.5703125" customWidth="1"/>
    <col min="3" max="3" width="16.42578125" bestFit="1" customWidth="1"/>
    <col min="4" max="4" width="157.42578125" bestFit="1" customWidth="1"/>
  </cols>
  <sheetData>
    <row r="6" spans="2:4" x14ac:dyDescent="0.25">
      <c r="B6" s="1" t="str">
        <f>ÍNDICE!B6</f>
        <v>NOME DA EMPRESA</v>
      </c>
    </row>
    <row r="7" spans="2:4" x14ac:dyDescent="0.25">
      <c r="B7" s="2" t="s">
        <v>27</v>
      </c>
    </row>
    <row r="8" spans="2:4" x14ac:dyDescent="0.25">
      <c r="B8" s="24" t="s">
        <v>158</v>
      </c>
    </row>
    <row r="9" spans="2:4" x14ac:dyDescent="0.25">
      <c r="B9" s="3"/>
      <c r="C9" s="3"/>
      <c r="D9" s="3"/>
    </row>
    <row r="11" spans="2:4" x14ac:dyDescent="0.25">
      <c r="B11" s="14" t="s">
        <v>29</v>
      </c>
      <c r="C11" s="15" t="s">
        <v>28</v>
      </c>
      <c r="D11" s="16" t="s">
        <v>32</v>
      </c>
    </row>
    <row r="12" spans="2:4" x14ac:dyDescent="0.25">
      <c r="B12" s="18" t="s">
        <v>30</v>
      </c>
      <c r="C12" s="18" t="s">
        <v>31</v>
      </c>
      <c r="D12" s="20" t="s">
        <v>33</v>
      </c>
    </row>
    <row r="13" spans="2:4" x14ac:dyDescent="0.25">
      <c r="B13" s="18" t="s">
        <v>34</v>
      </c>
      <c r="C13" s="19" t="s">
        <v>31</v>
      </c>
      <c r="D13" s="23" t="s">
        <v>106</v>
      </c>
    </row>
    <row r="14" spans="2:4" x14ac:dyDescent="0.25">
      <c r="B14" s="18" t="s">
        <v>107</v>
      </c>
      <c r="C14" s="19" t="s">
        <v>31</v>
      </c>
      <c r="D14" s="20" t="s">
        <v>108</v>
      </c>
    </row>
    <row r="15" spans="2:4" x14ac:dyDescent="0.25">
      <c r="B15" s="18" t="s">
        <v>109</v>
      </c>
      <c r="C15" s="13" t="s">
        <v>11</v>
      </c>
      <c r="D15" s="17" t="s">
        <v>110</v>
      </c>
    </row>
    <row r="16" spans="2:4" x14ac:dyDescent="0.25">
      <c r="B16" s="18" t="s">
        <v>113</v>
      </c>
      <c r="C16" s="13" t="s">
        <v>11</v>
      </c>
      <c r="D16" s="17" t="s">
        <v>111</v>
      </c>
    </row>
    <row r="17" spans="2:4" x14ac:dyDescent="0.25">
      <c r="B17" s="18" t="s">
        <v>114</v>
      </c>
      <c r="C17" s="13" t="s">
        <v>11</v>
      </c>
      <c r="D17" s="17" t="s">
        <v>112</v>
      </c>
    </row>
    <row r="18" spans="2:4" ht="30" x14ac:dyDescent="0.25">
      <c r="B18" s="18" t="s">
        <v>115</v>
      </c>
      <c r="C18" s="18" t="s">
        <v>116</v>
      </c>
      <c r="D18" s="17" t="s">
        <v>118</v>
      </c>
    </row>
    <row r="19" spans="2:4" x14ac:dyDescent="0.25">
      <c r="B19" s="18" t="s">
        <v>119</v>
      </c>
      <c r="C19" s="18" t="s">
        <v>116</v>
      </c>
      <c r="D19" s="17" t="s">
        <v>117</v>
      </c>
    </row>
    <row r="20" spans="2:4" ht="30" x14ac:dyDescent="0.25">
      <c r="B20" s="18" t="s">
        <v>120</v>
      </c>
      <c r="C20" s="18" t="s">
        <v>116</v>
      </c>
      <c r="D20" s="17" t="s">
        <v>132</v>
      </c>
    </row>
    <row r="21" spans="2:4" x14ac:dyDescent="0.25">
      <c r="B21" s="18" t="s">
        <v>121</v>
      </c>
      <c r="C21" s="18" t="s">
        <v>116</v>
      </c>
      <c r="D21" s="17" t="s">
        <v>143</v>
      </c>
    </row>
    <row r="22" spans="2:4" x14ac:dyDescent="0.25">
      <c r="B22" s="18" t="s">
        <v>122</v>
      </c>
      <c r="C22" s="18" t="s">
        <v>116</v>
      </c>
      <c r="D22" s="17" t="s">
        <v>142</v>
      </c>
    </row>
    <row r="23" spans="2:4" x14ac:dyDescent="0.25">
      <c r="B23" s="18" t="s">
        <v>123</v>
      </c>
      <c r="C23" s="18" t="s">
        <v>116</v>
      </c>
      <c r="D23" s="17" t="s">
        <v>141</v>
      </c>
    </row>
    <row r="24" spans="2:4" x14ac:dyDescent="0.25">
      <c r="B24" s="18" t="s">
        <v>124</v>
      </c>
      <c r="C24" s="18" t="s">
        <v>116</v>
      </c>
      <c r="D24" s="17" t="s">
        <v>133</v>
      </c>
    </row>
    <row r="25" spans="2:4" x14ac:dyDescent="0.25">
      <c r="B25" s="18" t="s">
        <v>125</v>
      </c>
      <c r="C25" s="18" t="s">
        <v>116</v>
      </c>
      <c r="D25" s="17" t="s">
        <v>134</v>
      </c>
    </row>
    <row r="26" spans="2:4" x14ac:dyDescent="0.25">
      <c r="B26" s="18" t="s">
        <v>126</v>
      </c>
      <c r="C26" s="18" t="s">
        <v>116</v>
      </c>
      <c r="D26" s="17" t="s">
        <v>135</v>
      </c>
    </row>
    <row r="27" spans="2:4" x14ac:dyDescent="0.25">
      <c r="B27" s="18" t="s">
        <v>127</v>
      </c>
      <c r="C27" s="18" t="s">
        <v>116</v>
      </c>
      <c r="D27" s="17" t="s">
        <v>136</v>
      </c>
    </row>
    <row r="28" spans="2:4" x14ac:dyDescent="0.25">
      <c r="B28" s="18" t="s">
        <v>128</v>
      </c>
      <c r="C28" s="18" t="s">
        <v>116</v>
      </c>
      <c r="D28" s="17" t="s">
        <v>137</v>
      </c>
    </row>
    <row r="29" spans="2:4" x14ac:dyDescent="0.25">
      <c r="B29" s="18" t="s">
        <v>129</v>
      </c>
      <c r="C29" s="18" t="s">
        <v>116</v>
      </c>
      <c r="D29" s="17" t="s">
        <v>138</v>
      </c>
    </row>
    <row r="30" spans="2:4" x14ac:dyDescent="0.25">
      <c r="B30" s="18" t="s">
        <v>130</v>
      </c>
      <c r="C30" s="18" t="s">
        <v>116</v>
      </c>
      <c r="D30" s="17" t="s">
        <v>139</v>
      </c>
    </row>
    <row r="31" spans="2:4" x14ac:dyDescent="0.25">
      <c r="B31" s="18" t="s">
        <v>131</v>
      </c>
      <c r="C31" s="18" t="s">
        <v>116</v>
      </c>
      <c r="D31" s="17" t="s">
        <v>140</v>
      </c>
    </row>
  </sheetData>
  <hyperlinks>
    <hyperlink ref="D13" location="'CFOP Considerados'!B11" display="CFOPs considerados, conforme link https://www.gov.br/receitafederal/pt-br/acesso-a-informacao/acoes-e-programas/facilitacao/anexo-ecf-cfop" xr:uid="{311E1B0A-A83C-429D-BBD5-C906EF62BF74}"/>
  </hyperlink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217BA-4927-4475-AF1A-4496D51428E7}">
  <dimension ref="B6:D160"/>
  <sheetViews>
    <sheetView showGridLines="0" zoomScale="80" zoomScaleNormal="80" workbookViewId="0">
      <selection activeCell="B11" sqref="B11"/>
    </sheetView>
  </sheetViews>
  <sheetFormatPr defaultRowHeight="15" x14ac:dyDescent="0.25"/>
  <cols>
    <col min="1" max="1" width="2.5703125" customWidth="1"/>
    <col min="2" max="2" width="20.5703125" customWidth="1"/>
    <col min="3" max="3" width="31" customWidth="1"/>
    <col min="4" max="4" width="110.85546875" style="17" customWidth="1"/>
  </cols>
  <sheetData>
    <row r="6" spans="2:4" x14ac:dyDescent="0.25">
      <c r="B6" s="1" t="str">
        <f>ÍNDICE!B6</f>
        <v>NOME DA EMPRESA</v>
      </c>
    </row>
    <row r="7" spans="2:4" x14ac:dyDescent="0.25">
      <c r="B7" s="2" t="s">
        <v>157</v>
      </c>
    </row>
    <row r="9" spans="2:4" x14ac:dyDescent="0.25">
      <c r="B9" s="3"/>
      <c r="C9" s="3"/>
      <c r="D9" s="21"/>
    </row>
    <row r="11" spans="2:4" x14ac:dyDescent="0.25">
      <c r="B11" s="14" t="s">
        <v>29</v>
      </c>
      <c r="C11" s="15" t="s">
        <v>22</v>
      </c>
      <c r="D11" s="22" t="s">
        <v>32</v>
      </c>
    </row>
    <row r="12" spans="2:4" x14ac:dyDescent="0.25">
      <c r="B12" s="13">
        <v>1</v>
      </c>
      <c r="C12" s="13">
        <v>5100</v>
      </c>
      <c r="D12" s="17" t="s">
        <v>35</v>
      </c>
    </row>
    <row r="13" spans="2:4" x14ac:dyDescent="0.25">
      <c r="B13" s="13">
        <v>2</v>
      </c>
      <c r="C13" s="13">
        <v>5101</v>
      </c>
      <c r="D13" s="17" t="s">
        <v>36</v>
      </c>
    </row>
    <row r="14" spans="2:4" x14ac:dyDescent="0.25">
      <c r="B14" s="13">
        <v>3</v>
      </c>
      <c r="C14" s="13">
        <v>5102</v>
      </c>
      <c r="D14" s="17" t="s">
        <v>37</v>
      </c>
    </row>
    <row r="15" spans="2:4" x14ac:dyDescent="0.25">
      <c r="B15" s="13">
        <v>4</v>
      </c>
      <c r="C15" s="13">
        <v>5103</v>
      </c>
      <c r="D15" s="17" t="s">
        <v>38</v>
      </c>
    </row>
    <row r="16" spans="2:4" x14ac:dyDescent="0.25">
      <c r="B16" s="13">
        <v>5</v>
      </c>
      <c r="C16" s="13">
        <v>5104</v>
      </c>
      <c r="D16" s="17" t="s">
        <v>39</v>
      </c>
    </row>
    <row r="17" spans="2:4" x14ac:dyDescent="0.25">
      <c r="B17" s="13">
        <v>6</v>
      </c>
      <c r="C17" s="13">
        <v>5105</v>
      </c>
      <c r="D17" s="17" t="s">
        <v>40</v>
      </c>
    </row>
    <row r="18" spans="2:4" x14ac:dyDescent="0.25">
      <c r="B18" s="13">
        <v>7</v>
      </c>
      <c r="C18" s="13">
        <v>5106</v>
      </c>
      <c r="D18" s="17" t="s">
        <v>41</v>
      </c>
    </row>
    <row r="19" spans="2:4" x14ac:dyDescent="0.25">
      <c r="B19" s="13">
        <v>8</v>
      </c>
      <c r="C19" s="13">
        <v>5109</v>
      </c>
      <c r="D19" s="17" t="s">
        <v>42</v>
      </c>
    </row>
    <row r="20" spans="2:4" x14ac:dyDescent="0.25">
      <c r="B20" s="13">
        <v>9</v>
      </c>
      <c r="C20" s="13">
        <v>5110</v>
      </c>
      <c r="D20" s="17" t="s">
        <v>43</v>
      </c>
    </row>
    <row r="21" spans="2:4" x14ac:dyDescent="0.25">
      <c r="B21" s="13">
        <v>10</v>
      </c>
      <c r="C21" s="13">
        <v>5111</v>
      </c>
      <c r="D21" s="17" t="s">
        <v>44</v>
      </c>
    </row>
    <row r="22" spans="2:4" x14ac:dyDescent="0.25">
      <c r="B22" s="13">
        <v>11</v>
      </c>
      <c r="C22" s="13">
        <v>5112</v>
      </c>
      <c r="D22" s="17" t="s">
        <v>45</v>
      </c>
    </row>
    <row r="23" spans="2:4" x14ac:dyDescent="0.25">
      <c r="B23" s="13">
        <v>12</v>
      </c>
      <c r="C23" s="13">
        <v>5113</v>
      </c>
      <c r="D23" s="17" t="s">
        <v>46</v>
      </c>
    </row>
    <row r="24" spans="2:4" x14ac:dyDescent="0.25">
      <c r="B24" s="13">
        <v>13</v>
      </c>
      <c r="C24" s="13">
        <v>5114</v>
      </c>
      <c r="D24" s="17" t="s">
        <v>47</v>
      </c>
    </row>
    <row r="25" spans="2:4" x14ac:dyDescent="0.25">
      <c r="B25" s="13">
        <v>14</v>
      </c>
      <c r="C25" s="13">
        <v>5115</v>
      </c>
      <c r="D25" s="17" t="s">
        <v>48</v>
      </c>
    </row>
    <row r="26" spans="2:4" x14ac:dyDescent="0.25">
      <c r="B26" s="13">
        <v>15</v>
      </c>
      <c r="C26" s="13">
        <v>5116</v>
      </c>
      <c r="D26" s="17" t="s">
        <v>49</v>
      </c>
    </row>
    <row r="27" spans="2:4" x14ac:dyDescent="0.25">
      <c r="B27" s="13">
        <v>16</v>
      </c>
      <c r="C27" s="13">
        <v>5117</v>
      </c>
      <c r="D27" s="17" t="s">
        <v>50</v>
      </c>
    </row>
    <row r="28" spans="2:4" ht="30" x14ac:dyDescent="0.25">
      <c r="B28" s="13">
        <v>17</v>
      </c>
      <c r="C28" s="13">
        <v>5118</v>
      </c>
      <c r="D28" s="17" t="s">
        <v>51</v>
      </c>
    </row>
    <row r="29" spans="2:4" ht="30" x14ac:dyDescent="0.25">
      <c r="B29" s="13">
        <v>18</v>
      </c>
      <c r="C29" s="13">
        <v>5119</v>
      </c>
      <c r="D29" s="17" t="s">
        <v>52</v>
      </c>
    </row>
    <row r="30" spans="2:4" ht="30" x14ac:dyDescent="0.25">
      <c r="B30" s="13">
        <v>19</v>
      </c>
      <c r="C30" s="13">
        <v>5120</v>
      </c>
      <c r="D30" s="17" t="s">
        <v>53</v>
      </c>
    </row>
    <row r="31" spans="2:4" ht="30" x14ac:dyDescent="0.25">
      <c r="B31" s="13">
        <v>20</v>
      </c>
      <c r="C31" s="13">
        <v>5122</v>
      </c>
      <c r="D31" s="17" t="s">
        <v>54</v>
      </c>
    </row>
    <row r="32" spans="2:4" ht="30" x14ac:dyDescent="0.25">
      <c r="B32" s="13">
        <v>21</v>
      </c>
      <c r="C32" s="13">
        <v>5123</v>
      </c>
      <c r="D32" s="17" t="s">
        <v>55</v>
      </c>
    </row>
    <row r="33" spans="2:4" x14ac:dyDescent="0.25">
      <c r="B33" s="13">
        <v>22</v>
      </c>
      <c r="C33" s="13">
        <v>5124</v>
      </c>
      <c r="D33" s="17" t="s">
        <v>56</v>
      </c>
    </row>
    <row r="34" spans="2:4" ht="30" x14ac:dyDescent="0.25">
      <c r="B34" s="13">
        <v>23</v>
      </c>
      <c r="C34" s="13">
        <v>5125</v>
      </c>
      <c r="D34" s="17" t="s">
        <v>57</v>
      </c>
    </row>
    <row r="35" spans="2:4" x14ac:dyDescent="0.25">
      <c r="B35" s="13">
        <v>24</v>
      </c>
      <c r="C35" s="13">
        <v>5129</v>
      </c>
      <c r="D35" s="17" t="s">
        <v>58</v>
      </c>
    </row>
    <row r="36" spans="2:4" ht="30" x14ac:dyDescent="0.25">
      <c r="B36" s="13">
        <v>25</v>
      </c>
      <c r="C36" s="13">
        <v>5132</v>
      </c>
      <c r="D36" s="17" t="s">
        <v>59</v>
      </c>
    </row>
    <row r="37" spans="2:4" x14ac:dyDescent="0.25">
      <c r="B37" s="13">
        <v>26</v>
      </c>
      <c r="C37" s="13">
        <v>5159</v>
      </c>
      <c r="D37" s="17" t="s">
        <v>60</v>
      </c>
    </row>
    <row r="38" spans="2:4" x14ac:dyDescent="0.25">
      <c r="B38" s="13">
        <v>27</v>
      </c>
      <c r="C38" s="13">
        <v>5160</v>
      </c>
      <c r="D38" s="17" t="s">
        <v>61</v>
      </c>
    </row>
    <row r="39" spans="2:4" x14ac:dyDescent="0.25">
      <c r="B39" s="13">
        <v>28</v>
      </c>
      <c r="C39" s="13">
        <v>5251</v>
      </c>
      <c r="D39" s="17" t="s">
        <v>62</v>
      </c>
    </row>
    <row r="40" spans="2:4" x14ac:dyDescent="0.25">
      <c r="B40" s="13">
        <v>29</v>
      </c>
      <c r="C40" s="13">
        <v>5252</v>
      </c>
      <c r="D40" s="17" t="s">
        <v>63</v>
      </c>
    </row>
    <row r="41" spans="2:4" x14ac:dyDescent="0.25">
      <c r="B41" s="13">
        <v>30</v>
      </c>
      <c r="C41" s="13">
        <v>5253</v>
      </c>
      <c r="D41" s="17" t="s">
        <v>64</v>
      </c>
    </row>
    <row r="42" spans="2:4" x14ac:dyDescent="0.25">
      <c r="B42" s="13">
        <v>31</v>
      </c>
      <c r="C42" s="13">
        <v>5254</v>
      </c>
      <c r="D42" s="17" t="s">
        <v>65</v>
      </c>
    </row>
    <row r="43" spans="2:4" x14ac:dyDescent="0.25">
      <c r="B43" s="13">
        <v>32</v>
      </c>
      <c r="C43" s="13">
        <v>5255</v>
      </c>
      <c r="D43" s="17" t="s">
        <v>66</v>
      </c>
    </row>
    <row r="44" spans="2:4" x14ac:dyDescent="0.25">
      <c r="B44" s="13">
        <v>33</v>
      </c>
      <c r="C44" s="13">
        <v>5256</v>
      </c>
      <c r="D44" s="17" t="s">
        <v>67</v>
      </c>
    </row>
    <row r="45" spans="2:4" x14ac:dyDescent="0.25">
      <c r="B45" s="13">
        <v>34</v>
      </c>
      <c r="C45" s="13">
        <v>5257</v>
      </c>
      <c r="D45" s="17" t="s">
        <v>68</v>
      </c>
    </row>
    <row r="46" spans="2:4" x14ac:dyDescent="0.25">
      <c r="B46" s="13">
        <v>35</v>
      </c>
      <c r="C46" s="13">
        <v>5258</v>
      </c>
      <c r="D46" s="17" t="s">
        <v>69</v>
      </c>
    </row>
    <row r="47" spans="2:4" x14ac:dyDescent="0.25">
      <c r="B47" s="13">
        <v>36</v>
      </c>
      <c r="C47" s="13">
        <v>5301</v>
      </c>
      <c r="D47" s="17" t="s">
        <v>70</v>
      </c>
    </row>
    <row r="48" spans="2:4" x14ac:dyDescent="0.25">
      <c r="B48" s="13">
        <v>37</v>
      </c>
      <c r="C48" s="13">
        <v>5302</v>
      </c>
      <c r="D48" s="17" t="s">
        <v>71</v>
      </c>
    </row>
    <row r="49" spans="2:4" x14ac:dyDescent="0.25">
      <c r="B49" s="13">
        <v>38</v>
      </c>
      <c r="C49" s="13">
        <v>5303</v>
      </c>
      <c r="D49" s="17" t="s">
        <v>72</v>
      </c>
    </row>
    <row r="50" spans="2:4" x14ac:dyDescent="0.25">
      <c r="B50" s="13">
        <v>39</v>
      </c>
      <c r="C50" s="13">
        <v>5304</v>
      </c>
      <c r="D50" s="17" t="s">
        <v>73</v>
      </c>
    </row>
    <row r="51" spans="2:4" x14ac:dyDescent="0.25">
      <c r="B51" s="13">
        <v>40</v>
      </c>
      <c r="C51" s="13">
        <v>5305</v>
      </c>
      <c r="D51" s="17" t="s">
        <v>74</v>
      </c>
    </row>
    <row r="52" spans="2:4" x14ac:dyDescent="0.25">
      <c r="B52" s="13">
        <v>41</v>
      </c>
      <c r="C52" s="13">
        <v>5306</v>
      </c>
      <c r="D52" s="17" t="s">
        <v>75</v>
      </c>
    </row>
    <row r="53" spans="2:4" x14ac:dyDescent="0.25">
      <c r="B53" s="13">
        <v>42</v>
      </c>
      <c r="C53" s="13">
        <v>5307</v>
      </c>
      <c r="D53" s="17" t="s">
        <v>76</v>
      </c>
    </row>
    <row r="54" spans="2:4" x14ac:dyDescent="0.25">
      <c r="B54" s="13">
        <v>43</v>
      </c>
      <c r="C54" s="13">
        <v>5351</v>
      </c>
      <c r="D54" s="17" t="s">
        <v>77</v>
      </c>
    </row>
    <row r="55" spans="2:4" x14ac:dyDescent="0.25">
      <c r="B55" s="13">
        <v>44</v>
      </c>
      <c r="C55" s="13">
        <v>5352</v>
      </c>
      <c r="D55" s="17" t="s">
        <v>78</v>
      </c>
    </row>
    <row r="56" spans="2:4" x14ac:dyDescent="0.25">
      <c r="B56" s="13">
        <v>45</v>
      </c>
      <c r="C56" s="13">
        <v>5353</v>
      </c>
      <c r="D56" s="17" t="s">
        <v>79</v>
      </c>
    </row>
    <row r="57" spans="2:4" x14ac:dyDescent="0.25">
      <c r="B57" s="13">
        <v>46</v>
      </c>
      <c r="C57" s="13">
        <v>5354</v>
      </c>
      <c r="D57" s="17" t="s">
        <v>80</v>
      </c>
    </row>
    <row r="58" spans="2:4" x14ac:dyDescent="0.25">
      <c r="B58" s="13">
        <v>47</v>
      </c>
      <c r="C58" s="13">
        <v>5355</v>
      </c>
      <c r="D58" s="17" t="s">
        <v>81</v>
      </c>
    </row>
    <row r="59" spans="2:4" x14ac:dyDescent="0.25">
      <c r="B59" s="13">
        <v>48</v>
      </c>
      <c r="C59" s="13">
        <v>5356</v>
      </c>
      <c r="D59" s="17" t="s">
        <v>82</v>
      </c>
    </row>
    <row r="60" spans="2:4" x14ac:dyDescent="0.25">
      <c r="B60" s="13">
        <v>49</v>
      </c>
      <c r="C60" s="13">
        <v>5357</v>
      </c>
      <c r="D60" s="17" t="s">
        <v>83</v>
      </c>
    </row>
    <row r="61" spans="2:4" ht="30" x14ac:dyDescent="0.25">
      <c r="B61" s="13">
        <v>50</v>
      </c>
      <c r="C61" s="13">
        <v>5359</v>
      </c>
      <c r="D61" s="17" t="s">
        <v>84</v>
      </c>
    </row>
    <row r="62" spans="2:4" x14ac:dyDescent="0.25">
      <c r="B62" s="13">
        <v>51</v>
      </c>
      <c r="C62" s="13">
        <v>5360</v>
      </c>
      <c r="D62" s="17" t="s">
        <v>85</v>
      </c>
    </row>
    <row r="63" spans="2:4" ht="30" x14ac:dyDescent="0.25">
      <c r="B63" s="13">
        <v>52</v>
      </c>
      <c r="C63" s="13">
        <v>5401</v>
      </c>
      <c r="D63" s="17" t="s">
        <v>86</v>
      </c>
    </row>
    <row r="64" spans="2:4" ht="30" x14ac:dyDescent="0.25">
      <c r="B64" s="13">
        <v>53</v>
      </c>
      <c r="C64" s="13">
        <v>5402</v>
      </c>
      <c r="D64" s="17" t="s">
        <v>87</v>
      </c>
    </row>
    <row r="65" spans="2:4" ht="30" x14ac:dyDescent="0.25">
      <c r="B65" s="13">
        <v>54</v>
      </c>
      <c r="C65" s="13">
        <v>5403</v>
      </c>
      <c r="D65" s="17" t="s">
        <v>88</v>
      </c>
    </row>
    <row r="66" spans="2:4" ht="30" x14ac:dyDescent="0.25">
      <c r="B66" s="13">
        <v>55</v>
      </c>
      <c r="C66" s="13">
        <v>5405</v>
      </c>
      <c r="D66" s="17" t="s">
        <v>89</v>
      </c>
    </row>
    <row r="67" spans="2:4" x14ac:dyDescent="0.25">
      <c r="B67" s="13">
        <v>56</v>
      </c>
      <c r="C67" s="13">
        <v>5456</v>
      </c>
      <c r="D67" s="17" t="s">
        <v>90</v>
      </c>
    </row>
    <row r="68" spans="2:4" x14ac:dyDescent="0.25">
      <c r="B68" s="13">
        <v>57</v>
      </c>
      <c r="C68" s="13">
        <v>5501</v>
      </c>
      <c r="D68" s="17" t="s">
        <v>91</v>
      </c>
    </row>
    <row r="69" spans="2:4" x14ac:dyDescent="0.25">
      <c r="B69" s="13">
        <v>58</v>
      </c>
      <c r="C69" s="13">
        <v>5502</v>
      </c>
      <c r="D69" s="17" t="s">
        <v>92</v>
      </c>
    </row>
    <row r="70" spans="2:4" x14ac:dyDescent="0.25">
      <c r="B70" s="13">
        <v>59</v>
      </c>
      <c r="C70" s="13">
        <v>5651</v>
      </c>
      <c r="D70" s="17" t="s">
        <v>93</v>
      </c>
    </row>
    <row r="71" spans="2:4" x14ac:dyDescent="0.25">
      <c r="B71" s="13">
        <v>60</v>
      </c>
      <c r="C71" s="13">
        <v>5652</v>
      </c>
      <c r="D71" s="17" t="s">
        <v>94</v>
      </c>
    </row>
    <row r="72" spans="2:4" x14ac:dyDescent="0.25">
      <c r="B72" s="13">
        <v>61</v>
      </c>
      <c r="C72" s="13">
        <v>5653</v>
      </c>
      <c r="D72" s="17" t="s">
        <v>95</v>
      </c>
    </row>
    <row r="73" spans="2:4" x14ac:dyDescent="0.25">
      <c r="B73" s="13">
        <v>62</v>
      </c>
      <c r="C73" s="13">
        <v>5654</v>
      </c>
      <c r="D73" s="17" t="s">
        <v>96</v>
      </c>
    </row>
    <row r="74" spans="2:4" x14ac:dyDescent="0.25">
      <c r="B74" s="13">
        <v>63</v>
      </c>
      <c r="C74" s="13">
        <v>5655</v>
      </c>
      <c r="D74" s="17" t="s">
        <v>97</v>
      </c>
    </row>
    <row r="75" spans="2:4" x14ac:dyDescent="0.25">
      <c r="B75" s="13">
        <v>64</v>
      </c>
      <c r="C75" s="13">
        <v>5656</v>
      </c>
      <c r="D75" s="17" t="s">
        <v>98</v>
      </c>
    </row>
    <row r="76" spans="2:4" x14ac:dyDescent="0.25">
      <c r="B76" s="13">
        <v>65</v>
      </c>
      <c r="C76" s="13">
        <v>5667</v>
      </c>
      <c r="D76" s="17" t="s">
        <v>99</v>
      </c>
    </row>
    <row r="77" spans="2:4" x14ac:dyDescent="0.25">
      <c r="B77" s="13">
        <v>66</v>
      </c>
      <c r="C77" s="13">
        <v>5932</v>
      </c>
      <c r="D77" s="17" t="s">
        <v>100</v>
      </c>
    </row>
    <row r="78" spans="2:4" x14ac:dyDescent="0.25">
      <c r="B78" s="13">
        <v>67</v>
      </c>
      <c r="C78" s="13">
        <v>5933</v>
      </c>
      <c r="D78" s="17" t="s">
        <v>101</v>
      </c>
    </row>
    <row r="79" spans="2:4" x14ac:dyDescent="0.25">
      <c r="B79" s="13">
        <v>68</v>
      </c>
      <c r="C79" s="13">
        <v>6101</v>
      </c>
      <c r="D79" s="17" t="s">
        <v>36</v>
      </c>
    </row>
    <row r="80" spans="2:4" x14ac:dyDescent="0.25">
      <c r="B80" s="13">
        <v>69</v>
      </c>
      <c r="C80" s="13">
        <v>6102</v>
      </c>
      <c r="D80" s="17" t="s">
        <v>37</v>
      </c>
    </row>
    <row r="81" spans="2:4" x14ac:dyDescent="0.25">
      <c r="B81" s="13">
        <v>70</v>
      </c>
      <c r="C81" s="13">
        <v>6103</v>
      </c>
      <c r="D81" s="17" t="s">
        <v>38</v>
      </c>
    </row>
    <row r="82" spans="2:4" x14ac:dyDescent="0.25">
      <c r="B82" s="13">
        <v>71</v>
      </c>
      <c r="C82" s="13">
        <v>6104</v>
      </c>
      <c r="D82" s="17" t="s">
        <v>39</v>
      </c>
    </row>
    <row r="83" spans="2:4" x14ac:dyDescent="0.25">
      <c r="B83" s="13">
        <v>72</v>
      </c>
      <c r="C83" s="13">
        <v>6105</v>
      </c>
      <c r="D83" s="17" t="s">
        <v>40</v>
      </c>
    </row>
    <row r="84" spans="2:4" x14ac:dyDescent="0.25">
      <c r="B84" s="13">
        <v>73</v>
      </c>
      <c r="C84" s="13">
        <v>6106</v>
      </c>
      <c r="D84" s="17" t="s">
        <v>41</v>
      </c>
    </row>
    <row r="85" spans="2:4" x14ac:dyDescent="0.25">
      <c r="B85" s="13">
        <v>74</v>
      </c>
      <c r="C85" s="13">
        <v>6107</v>
      </c>
      <c r="D85" s="17" t="s">
        <v>102</v>
      </c>
    </row>
    <row r="86" spans="2:4" x14ac:dyDescent="0.25">
      <c r="B86" s="13">
        <v>75</v>
      </c>
      <c r="C86" s="13">
        <v>6108</v>
      </c>
      <c r="D86" s="17" t="s">
        <v>103</v>
      </c>
    </row>
    <row r="87" spans="2:4" x14ac:dyDescent="0.25">
      <c r="B87" s="13">
        <v>76</v>
      </c>
      <c r="C87" s="13">
        <v>6109</v>
      </c>
      <c r="D87" s="17" t="s">
        <v>42</v>
      </c>
    </row>
    <row r="88" spans="2:4" x14ac:dyDescent="0.25">
      <c r="B88" s="13">
        <v>77</v>
      </c>
      <c r="C88" s="13">
        <v>6110</v>
      </c>
      <c r="D88" s="17" t="s">
        <v>43</v>
      </c>
    </row>
    <row r="89" spans="2:4" x14ac:dyDescent="0.25">
      <c r="B89" s="13">
        <v>78</v>
      </c>
      <c r="C89" s="13">
        <v>6111</v>
      </c>
      <c r="D89" s="17" t="s">
        <v>44</v>
      </c>
    </row>
    <row r="90" spans="2:4" x14ac:dyDescent="0.25">
      <c r="B90" s="13">
        <v>79</v>
      </c>
      <c r="C90" s="13">
        <v>6112</v>
      </c>
      <c r="D90" s="17" t="s">
        <v>45</v>
      </c>
    </row>
    <row r="91" spans="2:4" x14ac:dyDescent="0.25">
      <c r="B91" s="13">
        <v>80</v>
      </c>
      <c r="C91" s="13">
        <v>6113</v>
      </c>
      <c r="D91" s="17" t="s">
        <v>46</v>
      </c>
    </row>
    <row r="92" spans="2:4" x14ac:dyDescent="0.25">
      <c r="B92" s="13">
        <v>81</v>
      </c>
      <c r="C92" s="13">
        <v>6114</v>
      </c>
      <c r="D92" s="17" t="s">
        <v>47</v>
      </c>
    </row>
    <row r="93" spans="2:4" x14ac:dyDescent="0.25">
      <c r="B93" s="13">
        <v>82</v>
      </c>
      <c r="C93" s="13">
        <v>6115</v>
      </c>
      <c r="D93" s="17" t="s">
        <v>48</v>
      </c>
    </row>
    <row r="94" spans="2:4" x14ac:dyDescent="0.25">
      <c r="B94" s="13">
        <v>83</v>
      </c>
      <c r="C94" s="13">
        <v>6116</v>
      </c>
      <c r="D94" s="17" t="s">
        <v>49</v>
      </c>
    </row>
    <row r="95" spans="2:4" x14ac:dyDescent="0.25">
      <c r="B95" s="13">
        <v>84</v>
      </c>
      <c r="C95" s="13">
        <v>6117</v>
      </c>
      <c r="D95" s="17" t="s">
        <v>50</v>
      </c>
    </row>
    <row r="96" spans="2:4" ht="30" x14ac:dyDescent="0.25">
      <c r="B96" s="13">
        <v>85</v>
      </c>
      <c r="C96" s="13">
        <v>6118</v>
      </c>
      <c r="D96" s="17" t="s">
        <v>51</v>
      </c>
    </row>
    <row r="97" spans="2:4" ht="30" x14ac:dyDescent="0.25">
      <c r="B97" s="13">
        <v>86</v>
      </c>
      <c r="C97" s="13">
        <v>6119</v>
      </c>
      <c r="D97" s="17" t="s">
        <v>52</v>
      </c>
    </row>
    <row r="98" spans="2:4" ht="30" x14ac:dyDescent="0.25">
      <c r="B98" s="13">
        <v>87</v>
      </c>
      <c r="C98" s="13">
        <v>6120</v>
      </c>
      <c r="D98" s="17" t="s">
        <v>53</v>
      </c>
    </row>
    <row r="99" spans="2:4" ht="30" x14ac:dyDescent="0.25">
      <c r="B99" s="13">
        <v>88</v>
      </c>
      <c r="C99" s="13">
        <v>6122</v>
      </c>
      <c r="D99" s="17" t="s">
        <v>104</v>
      </c>
    </row>
    <row r="100" spans="2:4" ht="30" x14ac:dyDescent="0.25">
      <c r="B100" s="13">
        <v>89</v>
      </c>
      <c r="C100" s="13">
        <v>6123</v>
      </c>
      <c r="D100" s="17" t="s">
        <v>55</v>
      </c>
    </row>
    <row r="101" spans="2:4" x14ac:dyDescent="0.25">
      <c r="B101" s="13">
        <v>90</v>
      </c>
      <c r="C101" s="13">
        <v>6124</v>
      </c>
      <c r="D101" s="17" t="s">
        <v>56</v>
      </c>
    </row>
    <row r="102" spans="2:4" ht="30" x14ac:dyDescent="0.25">
      <c r="B102" s="13">
        <v>91</v>
      </c>
      <c r="C102" s="13">
        <v>6125</v>
      </c>
      <c r="D102" s="17" t="s">
        <v>57</v>
      </c>
    </row>
    <row r="103" spans="2:4" x14ac:dyDescent="0.25">
      <c r="B103" s="13">
        <v>92</v>
      </c>
      <c r="C103" s="13">
        <v>6129</v>
      </c>
      <c r="D103" s="17" t="s">
        <v>58</v>
      </c>
    </row>
    <row r="104" spans="2:4" ht="30" x14ac:dyDescent="0.25">
      <c r="B104" s="13">
        <v>93</v>
      </c>
      <c r="C104" s="13">
        <v>6132</v>
      </c>
      <c r="D104" s="17" t="s">
        <v>105</v>
      </c>
    </row>
    <row r="105" spans="2:4" x14ac:dyDescent="0.25">
      <c r="B105" s="13">
        <v>94</v>
      </c>
      <c r="C105" s="13">
        <v>6159</v>
      </c>
      <c r="D105" s="17" t="s">
        <v>60</v>
      </c>
    </row>
    <row r="106" spans="2:4" x14ac:dyDescent="0.25">
      <c r="B106" s="13">
        <v>95</v>
      </c>
      <c r="C106" s="13">
        <v>6160</v>
      </c>
      <c r="D106" s="17" t="s">
        <v>61</v>
      </c>
    </row>
    <row r="107" spans="2:4" x14ac:dyDescent="0.25">
      <c r="B107" s="13">
        <v>96</v>
      </c>
      <c r="C107" s="13">
        <v>6251</v>
      </c>
      <c r="D107" s="17" t="s">
        <v>62</v>
      </c>
    </row>
    <row r="108" spans="2:4" x14ac:dyDescent="0.25">
      <c r="B108" s="13">
        <v>97</v>
      </c>
      <c r="C108" s="13">
        <v>6252</v>
      </c>
      <c r="D108" s="17" t="s">
        <v>63</v>
      </c>
    </row>
    <row r="109" spans="2:4" x14ac:dyDescent="0.25">
      <c r="B109" s="13">
        <v>98</v>
      </c>
      <c r="C109" s="13">
        <v>6253</v>
      </c>
      <c r="D109" s="17" t="s">
        <v>64</v>
      </c>
    </row>
    <row r="110" spans="2:4" x14ac:dyDescent="0.25">
      <c r="B110" s="13">
        <v>99</v>
      </c>
      <c r="C110" s="13">
        <v>6254</v>
      </c>
      <c r="D110" s="17" t="s">
        <v>65</v>
      </c>
    </row>
    <row r="111" spans="2:4" x14ac:dyDescent="0.25">
      <c r="B111" s="13">
        <v>100</v>
      </c>
      <c r="C111" s="13">
        <v>6255</v>
      </c>
      <c r="D111" s="17" t="s">
        <v>66</v>
      </c>
    </row>
    <row r="112" spans="2:4" x14ac:dyDescent="0.25">
      <c r="B112" s="13">
        <v>101</v>
      </c>
      <c r="C112" s="13">
        <v>6256</v>
      </c>
      <c r="D112" s="17" t="s">
        <v>67</v>
      </c>
    </row>
    <row r="113" spans="2:4" x14ac:dyDescent="0.25">
      <c r="B113" s="13">
        <v>102</v>
      </c>
      <c r="C113" s="13">
        <v>6257</v>
      </c>
      <c r="D113" s="17" t="s">
        <v>68</v>
      </c>
    </row>
    <row r="114" spans="2:4" x14ac:dyDescent="0.25">
      <c r="B114" s="13">
        <v>103</v>
      </c>
      <c r="C114" s="13">
        <v>6258</v>
      </c>
      <c r="D114" s="17" t="s">
        <v>69</v>
      </c>
    </row>
    <row r="115" spans="2:4" x14ac:dyDescent="0.25">
      <c r="B115" s="13">
        <v>104</v>
      </c>
      <c r="C115" s="13">
        <v>6301</v>
      </c>
      <c r="D115" s="17" t="s">
        <v>70</v>
      </c>
    </row>
    <row r="116" spans="2:4" x14ac:dyDescent="0.25">
      <c r="B116" s="13">
        <v>105</v>
      </c>
      <c r="C116" s="13">
        <v>6302</v>
      </c>
      <c r="D116" s="17" t="s">
        <v>71</v>
      </c>
    </row>
    <row r="117" spans="2:4" x14ac:dyDescent="0.25">
      <c r="B117" s="13">
        <v>106</v>
      </c>
      <c r="C117" s="13">
        <v>6303</v>
      </c>
      <c r="D117" s="17" t="s">
        <v>72</v>
      </c>
    </row>
    <row r="118" spans="2:4" x14ac:dyDescent="0.25">
      <c r="B118" s="13">
        <v>107</v>
      </c>
      <c r="C118" s="13">
        <v>6304</v>
      </c>
      <c r="D118" s="17" t="s">
        <v>73</v>
      </c>
    </row>
    <row r="119" spans="2:4" x14ac:dyDescent="0.25">
      <c r="B119" s="13">
        <v>108</v>
      </c>
      <c r="C119" s="13">
        <v>6305</v>
      </c>
      <c r="D119" s="17" t="s">
        <v>74</v>
      </c>
    </row>
    <row r="120" spans="2:4" x14ac:dyDescent="0.25">
      <c r="B120" s="13">
        <v>109</v>
      </c>
      <c r="C120" s="13">
        <v>6306</v>
      </c>
      <c r="D120" s="17" t="s">
        <v>75</v>
      </c>
    </row>
    <row r="121" spans="2:4" x14ac:dyDescent="0.25">
      <c r="B121" s="13">
        <v>110</v>
      </c>
      <c r="C121" s="13">
        <v>6307</v>
      </c>
      <c r="D121" s="17" t="s">
        <v>76</v>
      </c>
    </row>
    <row r="122" spans="2:4" x14ac:dyDescent="0.25">
      <c r="B122" s="13">
        <v>111</v>
      </c>
      <c r="C122" s="13">
        <v>6351</v>
      </c>
      <c r="D122" s="17" t="s">
        <v>77</v>
      </c>
    </row>
    <row r="123" spans="2:4" x14ac:dyDescent="0.25">
      <c r="B123" s="13">
        <v>112</v>
      </c>
      <c r="C123" s="13">
        <v>6352</v>
      </c>
      <c r="D123" s="17" t="s">
        <v>78</v>
      </c>
    </row>
    <row r="124" spans="2:4" x14ac:dyDescent="0.25">
      <c r="B124" s="13">
        <v>113</v>
      </c>
      <c r="C124" s="13">
        <v>6353</v>
      </c>
      <c r="D124" s="17" t="s">
        <v>79</v>
      </c>
    </row>
    <row r="125" spans="2:4" x14ac:dyDescent="0.25">
      <c r="B125" s="13">
        <v>114</v>
      </c>
      <c r="C125" s="13">
        <v>6354</v>
      </c>
      <c r="D125" s="17" t="s">
        <v>80</v>
      </c>
    </row>
    <row r="126" spans="2:4" x14ac:dyDescent="0.25">
      <c r="B126" s="13">
        <v>115</v>
      </c>
      <c r="C126" s="13">
        <v>6355</v>
      </c>
      <c r="D126" s="17" t="s">
        <v>81</v>
      </c>
    </row>
    <row r="127" spans="2:4" x14ac:dyDescent="0.25">
      <c r="B127" s="13">
        <v>116</v>
      </c>
      <c r="C127" s="13">
        <v>6356</v>
      </c>
      <c r="D127" s="17" t="s">
        <v>82</v>
      </c>
    </row>
    <row r="128" spans="2:4" x14ac:dyDescent="0.25">
      <c r="B128" s="13">
        <v>117</v>
      </c>
      <c r="C128" s="13">
        <v>6357</v>
      </c>
      <c r="D128" s="17" t="s">
        <v>83</v>
      </c>
    </row>
    <row r="129" spans="2:4" ht="30" x14ac:dyDescent="0.25">
      <c r="B129" s="13">
        <v>118</v>
      </c>
      <c r="C129" s="13">
        <v>6359</v>
      </c>
      <c r="D129" s="17" t="s">
        <v>84</v>
      </c>
    </row>
    <row r="130" spans="2:4" x14ac:dyDescent="0.25">
      <c r="B130" s="13">
        <v>119</v>
      </c>
      <c r="C130" s="13">
        <v>6360</v>
      </c>
      <c r="D130" s="17" t="s">
        <v>144</v>
      </c>
    </row>
    <row r="131" spans="2:4" ht="30" x14ac:dyDescent="0.25">
      <c r="B131" s="13">
        <v>120</v>
      </c>
      <c r="C131" s="13">
        <v>6401</v>
      </c>
      <c r="D131" s="17" t="s">
        <v>86</v>
      </c>
    </row>
    <row r="132" spans="2:4" ht="30" x14ac:dyDescent="0.25">
      <c r="B132" s="13">
        <v>121</v>
      </c>
      <c r="C132" s="13">
        <v>6402</v>
      </c>
      <c r="D132" s="17" t="s">
        <v>87</v>
      </c>
    </row>
    <row r="133" spans="2:4" ht="30" x14ac:dyDescent="0.25">
      <c r="B133" s="13">
        <v>122</v>
      </c>
      <c r="C133" s="13">
        <v>6403</v>
      </c>
      <c r="D133" s="17" t="s">
        <v>88</v>
      </c>
    </row>
    <row r="134" spans="2:4" x14ac:dyDescent="0.25">
      <c r="B134" s="13">
        <v>123</v>
      </c>
      <c r="C134" s="13">
        <v>6404</v>
      </c>
      <c r="D134" s="17" t="s">
        <v>145</v>
      </c>
    </row>
    <row r="135" spans="2:4" x14ac:dyDescent="0.25">
      <c r="B135" s="13">
        <v>124</v>
      </c>
      <c r="C135" s="13">
        <v>6456</v>
      </c>
      <c r="D135" s="17" t="s">
        <v>90</v>
      </c>
    </row>
    <row r="136" spans="2:4" x14ac:dyDescent="0.25">
      <c r="B136" s="13">
        <v>125</v>
      </c>
      <c r="C136" s="13">
        <v>6501</v>
      </c>
      <c r="D136" s="17" t="s">
        <v>91</v>
      </c>
    </row>
    <row r="137" spans="2:4" x14ac:dyDescent="0.25">
      <c r="B137" s="13">
        <v>126</v>
      </c>
      <c r="C137" s="13">
        <v>6502</v>
      </c>
      <c r="D137" s="17" t="s">
        <v>92</v>
      </c>
    </row>
    <row r="138" spans="2:4" x14ac:dyDescent="0.25">
      <c r="B138" s="13">
        <v>127</v>
      </c>
      <c r="C138" s="13">
        <v>6651</v>
      </c>
      <c r="D138" s="17" t="s">
        <v>146</v>
      </c>
    </row>
    <row r="139" spans="2:4" x14ac:dyDescent="0.25">
      <c r="B139" s="13">
        <v>128</v>
      </c>
      <c r="C139" s="13">
        <v>6652</v>
      </c>
      <c r="D139" s="17" t="s">
        <v>94</v>
      </c>
    </row>
    <row r="140" spans="2:4" x14ac:dyDescent="0.25">
      <c r="B140" s="13">
        <v>129</v>
      </c>
      <c r="C140" s="13">
        <v>6653</v>
      </c>
      <c r="D140" s="17" t="s">
        <v>95</v>
      </c>
    </row>
    <row r="141" spans="2:4" x14ac:dyDescent="0.25">
      <c r="B141" s="13">
        <v>130</v>
      </c>
      <c r="C141" s="13">
        <v>6654</v>
      </c>
      <c r="D141" s="17" t="s">
        <v>96</v>
      </c>
    </row>
    <row r="142" spans="2:4" x14ac:dyDescent="0.25">
      <c r="B142" s="13">
        <v>131</v>
      </c>
      <c r="C142" s="13">
        <v>6655</v>
      </c>
      <c r="D142" s="17" t="s">
        <v>97</v>
      </c>
    </row>
    <row r="143" spans="2:4" x14ac:dyDescent="0.25">
      <c r="B143" s="13">
        <v>132</v>
      </c>
      <c r="C143" s="13">
        <v>6656</v>
      </c>
      <c r="D143" s="17" t="s">
        <v>98</v>
      </c>
    </row>
    <row r="144" spans="2:4" ht="30" x14ac:dyDescent="0.25">
      <c r="B144" s="13">
        <v>133</v>
      </c>
      <c r="C144" s="13">
        <v>6667</v>
      </c>
      <c r="D144" s="17" t="s">
        <v>147</v>
      </c>
    </row>
    <row r="145" spans="2:4" x14ac:dyDescent="0.25">
      <c r="B145" s="13">
        <v>134</v>
      </c>
      <c r="C145" s="13">
        <v>6932</v>
      </c>
      <c r="D145" s="17" t="s">
        <v>100</v>
      </c>
    </row>
    <row r="146" spans="2:4" x14ac:dyDescent="0.25">
      <c r="B146" s="13">
        <v>135</v>
      </c>
      <c r="C146" s="13">
        <v>6933</v>
      </c>
      <c r="D146" s="17" t="s">
        <v>101</v>
      </c>
    </row>
    <row r="147" spans="2:4" x14ac:dyDescent="0.25">
      <c r="B147" s="13">
        <v>136</v>
      </c>
      <c r="C147" s="13">
        <v>7101</v>
      </c>
      <c r="D147" s="17" t="s">
        <v>36</v>
      </c>
    </row>
    <row r="148" spans="2:4" x14ac:dyDescent="0.25">
      <c r="B148" s="13">
        <v>137</v>
      </c>
      <c r="C148" s="13">
        <v>7102</v>
      </c>
      <c r="D148" s="17" t="s">
        <v>37</v>
      </c>
    </row>
    <row r="149" spans="2:4" x14ac:dyDescent="0.25">
      <c r="B149" s="13">
        <v>138</v>
      </c>
      <c r="C149" s="13">
        <v>7105</v>
      </c>
      <c r="D149" s="17" t="s">
        <v>40</v>
      </c>
    </row>
    <row r="150" spans="2:4" x14ac:dyDescent="0.25">
      <c r="B150" s="13">
        <v>139</v>
      </c>
      <c r="C150" s="13">
        <v>7106</v>
      </c>
      <c r="D150" s="17" t="s">
        <v>41</v>
      </c>
    </row>
    <row r="151" spans="2:4" x14ac:dyDescent="0.25">
      <c r="B151" s="13">
        <v>140</v>
      </c>
      <c r="C151" s="13">
        <v>7127</v>
      </c>
      <c r="D151" s="17" t="s">
        <v>148</v>
      </c>
    </row>
    <row r="152" spans="2:4" x14ac:dyDescent="0.25">
      <c r="B152" s="13">
        <v>141</v>
      </c>
      <c r="C152" s="13">
        <v>7129</v>
      </c>
      <c r="D152" s="17" t="s">
        <v>149</v>
      </c>
    </row>
    <row r="153" spans="2:4" x14ac:dyDescent="0.25">
      <c r="B153" s="13">
        <v>142</v>
      </c>
      <c r="C153" s="13">
        <v>7251</v>
      </c>
      <c r="D153" s="17" t="s">
        <v>62</v>
      </c>
    </row>
    <row r="154" spans="2:4" x14ac:dyDescent="0.25">
      <c r="B154" s="13">
        <v>143</v>
      </c>
      <c r="C154" s="13">
        <v>7301</v>
      </c>
      <c r="D154" s="17" t="s">
        <v>70</v>
      </c>
    </row>
    <row r="155" spans="2:4" x14ac:dyDescent="0.25">
      <c r="B155" s="13">
        <v>144</v>
      </c>
      <c r="C155" s="13">
        <v>7358</v>
      </c>
      <c r="D155" s="17" t="s">
        <v>150</v>
      </c>
    </row>
    <row r="156" spans="2:4" x14ac:dyDescent="0.25">
      <c r="B156" s="13">
        <v>145</v>
      </c>
      <c r="C156" s="13">
        <v>7501</v>
      </c>
      <c r="D156" s="17" t="s">
        <v>151</v>
      </c>
    </row>
    <row r="157" spans="2:4" x14ac:dyDescent="0.25">
      <c r="B157" s="13">
        <v>146</v>
      </c>
      <c r="C157" s="13">
        <v>7504</v>
      </c>
      <c r="D157" s="17" t="s">
        <v>152</v>
      </c>
    </row>
    <row r="158" spans="2:4" x14ac:dyDescent="0.25">
      <c r="B158" s="13">
        <v>147</v>
      </c>
      <c r="C158" s="13">
        <v>7651</v>
      </c>
      <c r="D158" s="17" t="s">
        <v>153</v>
      </c>
    </row>
    <row r="159" spans="2:4" x14ac:dyDescent="0.25">
      <c r="B159" s="13">
        <v>148</v>
      </c>
      <c r="C159" s="13">
        <v>7654</v>
      </c>
      <c r="D159" s="17" t="s">
        <v>154</v>
      </c>
    </row>
    <row r="160" spans="2:4" x14ac:dyDescent="0.25">
      <c r="B160" s="13">
        <v>149</v>
      </c>
      <c r="C160" s="13">
        <v>7667</v>
      </c>
      <c r="D160" s="17" t="s">
        <v>155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A68F-CF56-4659-B45A-EF4DBDFF118E}">
  <sheetPr codeName="Sheet3"/>
  <dimension ref="B1:H11"/>
  <sheetViews>
    <sheetView showGridLines="0" zoomScale="80" zoomScaleNormal="80" workbookViewId="0">
      <selection activeCell="B11" sqref="B11"/>
    </sheetView>
  </sheetViews>
  <sheetFormatPr defaultRowHeight="15" outlineLevelRow="1" x14ac:dyDescent="0.25"/>
  <cols>
    <col min="1" max="1" width="2.5703125" customWidth="1"/>
    <col min="2" max="2" width="20.5703125" style="30" customWidth="1"/>
    <col min="3" max="5" width="20.5703125" style="5" customWidth="1"/>
    <col min="6" max="8" width="30.5703125" style="5" customWidth="1"/>
  </cols>
  <sheetData>
    <row r="1" spans="2:8" x14ac:dyDescent="0.25">
      <c r="B1" s="25"/>
      <c r="C1"/>
      <c r="D1"/>
      <c r="E1"/>
      <c r="F1"/>
      <c r="G1"/>
      <c r="H1"/>
    </row>
    <row r="2" spans="2:8" x14ac:dyDescent="0.25">
      <c r="B2" s="25"/>
      <c r="C2"/>
      <c r="D2"/>
      <c r="E2"/>
      <c r="F2"/>
      <c r="G2"/>
      <c r="H2"/>
    </row>
    <row r="3" spans="2:8" x14ac:dyDescent="0.25">
      <c r="B3" s="25"/>
      <c r="C3"/>
      <c r="D3"/>
      <c r="E3"/>
      <c r="F3"/>
      <c r="G3"/>
      <c r="H3"/>
    </row>
    <row r="4" spans="2:8" x14ac:dyDescent="0.25">
      <c r="B4" s="25"/>
      <c r="C4"/>
      <c r="D4"/>
      <c r="E4"/>
      <c r="F4"/>
      <c r="G4"/>
      <c r="H4"/>
    </row>
    <row r="5" spans="2:8" x14ac:dyDescent="0.25">
      <c r="B5" s="25"/>
      <c r="C5"/>
      <c r="D5"/>
      <c r="E5"/>
      <c r="F5"/>
      <c r="G5"/>
      <c r="H5"/>
    </row>
    <row r="6" spans="2:8" x14ac:dyDescent="0.25">
      <c r="B6" s="26" t="str">
        <f>ÍNDICE!B6</f>
        <v>NOME DA EMPRESA</v>
      </c>
      <c r="C6" s="1"/>
      <c r="D6"/>
      <c r="E6"/>
      <c r="F6"/>
      <c r="G6"/>
      <c r="H6"/>
    </row>
    <row r="7" spans="2:8" x14ac:dyDescent="0.25">
      <c r="B7" s="27" t="s">
        <v>15</v>
      </c>
      <c r="C7" s="2"/>
      <c r="D7"/>
      <c r="E7"/>
      <c r="F7"/>
      <c r="G7"/>
      <c r="H7"/>
    </row>
    <row r="8" spans="2:8" x14ac:dyDescent="0.25">
      <c r="B8" s="3"/>
      <c r="C8" s="3"/>
      <c r="D8" s="3"/>
      <c r="E8" s="3"/>
      <c r="F8" s="3"/>
      <c r="G8" s="3"/>
      <c r="H8" s="3"/>
    </row>
    <row r="9" spans="2:8" x14ac:dyDescent="0.25">
      <c r="B9" s="6"/>
      <c r="C9" s="6">
        <f t="shared" ref="C9:H9" si="0">SUBTOTAL(9,C12:C1048576)</f>
        <v>0</v>
      </c>
      <c r="D9" s="6">
        <f t="shared" si="0"/>
        <v>0</v>
      </c>
      <c r="E9" s="6">
        <f t="shared" si="0"/>
        <v>0</v>
      </c>
      <c r="F9" s="6">
        <f t="shared" si="0"/>
        <v>0</v>
      </c>
      <c r="G9" s="6">
        <f t="shared" si="0"/>
        <v>0</v>
      </c>
      <c r="H9" s="6">
        <f t="shared" si="0"/>
        <v>0</v>
      </c>
    </row>
    <row r="10" spans="2:8" hidden="1" outlineLevel="1" x14ac:dyDescent="0.25">
      <c r="B10" s="28" t="s">
        <v>4</v>
      </c>
      <c r="C10" s="9"/>
      <c r="D10" s="9" t="s">
        <v>5</v>
      </c>
      <c r="E10" s="9" t="s">
        <v>6</v>
      </c>
      <c r="F10" s="9" t="s">
        <v>7</v>
      </c>
      <c r="G10" s="9" t="s">
        <v>8</v>
      </c>
      <c r="H10" s="9" t="s">
        <v>9</v>
      </c>
    </row>
    <row r="11" spans="2:8" collapsed="1" x14ac:dyDescent="0.25">
      <c r="B11" s="29" t="s">
        <v>159</v>
      </c>
      <c r="C11" s="7" t="s">
        <v>10</v>
      </c>
      <c r="D11" s="7" t="s">
        <v>11</v>
      </c>
      <c r="E11" s="7" t="s">
        <v>12</v>
      </c>
      <c r="F11" s="8" t="s">
        <v>3</v>
      </c>
      <c r="G11" s="8" t="s">
        <v>13</v>
      </c>
      <c r="H11" s="8" t="s">
        <v>14</v>
      </c>
    </row>
  </sheetData>
  <autoFilter ref="B11:H11" xr:uid="{A1CC6448-0847-4378-83A9-5E7D37FE6577}"/>
  <conditionalFormatting sqref="C9:H9">
    <cfRule type="expression" dxfId="6" priority="1">
      <formula>ISERROR($D$9:$H$1048576)=FALSE</formula>
    </cfRule>
  </conditionalFormatting>
  <conditionalFormatting sqref="C12:H1048575">
    <cfRule type="expression" dxfId="5" priority="2">
      <formula>ISERROR($F$14:$L$1048576)=FALSE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32B38-DE34-4771-9D64-B471995B9E2C}">
  <dimension ref="B1:I11"/>
  <sheetViews>
    <sheetView showGridLines="0" zoomScale="80" zoomScaleNormal="80" workbookViewId="0">
      <selection activeCell="B11" sqref="B11"/>
    </sheetView>
  </sheetViews>
  <sheetFormatPr defaultRowHeight="15" outlineLevelRow="1" x14ac:dyDescent="0.25"/>
  <cols>
    <col min="1" max="1" width="2.5703125" customWidth="1"/>
    <col min="2" max="3" width="20.5703125" style="30" customWidth="1"/>
    <col min="4" max="6" width="20.5703125" style="5" customWidth="1"/>
    <col min="7" max="9" width="30.5703125" style="5" customWidth="1"/>
  </cols>
  <sheetData>
    <row r="1" spans="2:9" x14ac:dyDescent="0.25">
      <c r="B1" s="25"/>
      <c r="C1" s="25"/>
      <c r="D1"/>
      <c r="E1"/>
      <c r="F1"/>
      <c r="G1"/>
      <c r="H1"/>
      <c r="I1"/>
    </row>
    <row r="2" spans="2:9" x14ac:dyDescent="0.25">
      <c r="B2" s="25"/>
      <c r="C2" s="25"/>
      <c r="D2"/>
      <c r="E2"/>
      <c r="F2"/>
      <c r="G2"/>
      <c r="H2"/>
      <c r="I2"/>
    </row>
    <row r="3" spans="2:9" x14ac:dyDescent="0.25">
      <c r="B3" s="25"/>
      <c r="C3" s="25"/>
      <c r="D3"/>
      <c r="E3"/>
      <c r="F3"/>
      <c r="G3"/>
      <c r="H3"/>
      <c r="I3"/>
    </row>
    <row r="4" spans="2:9" x14ac:dyDescent="0.25">
      <c r="B4" s="25"/>
      <c r="C4" s="25"/>
      <c r="D4"/>
      <c r="E4"/>
      <c r="F4"/>
      <c r="G4"/>
      <c r="H4"/>
      <c r="I4"/>
    </row>
    <row r="5" spans="2:9" x14ac:dyDescent="0.25">
      <c r="B5" s="25"/>
      <c r="C5" s="25"/>
      <c r="D5"/>
      <c r="E5"/>
      <c r="F5"/>
      <c r="G5"/>
      <c r="H5"/>
      <c r="I5"/>
    </row>
    <row r="6" spans="2:9" x14ac:dyDescent="0.25">
      <c r="B6" s="26" t="str">
        <f>ÍNDICE!B6</f>
        <v>NOME DA EMPRESA</v>
      </c>
      <c r="C6" s="26"/>
      <c r="D6" s="1"/>
      <c r="E6"/>
      <c r="F6"/>
      <c r="G6"/>
      <c r="H6"/>
      <c r="I6"/>
    </row>
    <row r="7" spans="2:9" x14ac:dyDescent="0.25">
      <c r="B7" s="27" t="s">
        <v>15</v>
      </c>
      <c r="C7" s="27"/>
      <c r="D7" s="2"/>
      <c r="E7"/>
      <c r="F7"/>
      <c r="G7"/>
      <c r="H7"/>
      <c r="I7"/>
    </row>
    <row r="8" spans="2:9" x14ac:dyDescent="0.25">
      <c r="B8" s="3"/>
      <c r="C8" s="3"/>
      <c r="D8" s="3"/>
      <c r="E8" s="3"/>
      <c r="F8" s="3"/>
      <c r="G8" s="3"/>
      <c r="H8" s="3"/>
      <c r="I8" s="3"/>
    </row>
    <row r="9" spans="2:9" x14ac:dyDescent="0.25">
      <c r="B9" s="6"/>
      <c r="C9" s="6"/>
      <c r="D9" s="6">
        <f t="shared" ref="D9:I9" si="0">SUBTOTAL(9,D12:D1048576)</f>
        <v>0</v>
      </c>
      <c r="E9" s="6">
        <f t="shared" si="0"/>
        <v>0</v>
      </c>
      <c r="F9" s="6">
        <f t="shared" si="0"/>
        <v>0</v>
      </c>
      <c r="G9" s="6">
        <f t="shared" si="0"/>
        <v>0</v>
      </c>
      <c r="H9" s="6">
        <f t="shared" si="0"/>
        <v>0</v>
      </c>
      <c r="I9" s="6">
        <f t="shared" si="0"/>
        <v>0</v>
      </c>
    </row>
    <row r="10" spans="2:9" hidden="1" outlineLevel="1" x14ac:dyDescent="0.25">
      <c r="B10" s="28" t="s">
        <v>4</v>
      </c>
      <c r="C10" s="28"/>
      <c r="D10" s="9"/>
      <c r="E10" s="9" t="s">
        <v>5</v>
      </c>
      <c r="F10" s="9" t="s">
        <v>6</v>
      </c>
      <c r="G10" s="9" t="s">
        <v>7</v>
      </c>
      <c r="H10" s="9" t="s">
        <v>8</v>
      </c>
      <c r="I10" s="9" t="s">
        <v>9</v>
      </c>
    </row>
    <row r="11" spans="2:9" collapsed="1" x14ac:dyDescent="0.25">
      <c r="B11" s="29" t="s">
        <v>159</v>
      </c>
      <c r="C11" s="29" t="s">
        <v>160</v>
      </c>
      <c r="D11" s="7" t="s">
        <v>10</v>
      </c>
      <c r="E11" s="7" t="s">
        <v>11</v>
      </c>
      <c r="F11" s="7" t="s">
        <v>12</v>
      </c>
      <c r="G11" s="8" t="s">
        <v>3</v>
      </c>
      <c r="H11" s="8" t="s">
        <v>13</v>
      </c>
      <c r="I11" s="8" t="s">
        <v>14</v>
      </c>
    </row>
  </sheetData>
  <autoFilter ref="B11:I11" xr:uid="{A1CC6448-0847-4378-83A9-5E7D37FE6577}"/>
  <conditionalFormatting sqref="D9:I9">
    <cfRule type="expression" dxfId="4" priority="1">
      <formula>ISERROR($D$9:$H$1048576)=FALSE</formula>
    </cfRule>
  </conditionalFormatting>
  <conditionalFormatting sqref="D12:I1048575">
    <cfRule type="expression" dxfId="3" priority="2">
      <formula>ISERROR($G$14:$M$1048576)=FALSE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1303-BFD9-43E2-B683-506AD6D7DF8F}">
  <dimension ref="B1:H11"/>
  <sheetViews>
    <sheetView showGridLines="0" zoomScale="80" zoomScaleNormal="80" workbookViewId="0">
      <selection activeCell="B11" sqref="B11"/>
    </sheetView>
  </sheetViews>
  <sheetFormatPr defaultRowHeight="15" outlineLevelRow="1" x14ac:dyDescent="0.25"/>
  <cols>
    <col min="1" max="1" width="2.5703125" customWidth="1"/>
    <col min="2" max="2" width="20.5703125" style="31" customWidth="1"/>
    <col min="3" max="5" width="20.5703125" style="5" customWidth="1"/>
    <col min="6" max="8" width="30.5703125" style="5" customWidth="1"/>
  </cols>
  <sheetData>
    <row r="1" spans="2:8" x14ac:dyDescent="0.25">
      <c r="B1"/>
      <c r="C1"/>
      <c r="D1"/>
      <c r="E1"/>
      <c r="F1"/>
      <c r="G1"/>
      <c r="H1"/>
    </row>
    <row r="2" spans="2:8" x14ac:dyDescent="0.25">
      <c r="B2"/>
      <c r="C2"/>
      <c r="D2"/>
      <c r="E2"/>
      <c r="F2"/>
      <c r="G2"/>
      <c r="H2"/>
    </row>
    <row r="3" spans="2:8" x14ac:dyDescent="0.25">
      <c r="B3"/>
      <c r="C3"/>
      <c r="D3"/>
      <c r="E3"/>
      <c r="F3"/>
      <c r="G3"/>
      <c r="H3"/>
    </row>
    <row r="4" spans="2:8" x14ac:dyDescent="0.25">
      <c r="B4"/>
      <c r="C4"/>
      <c r="D4"/>
      <c r="E4"/>
      <c r="F4"/>
      <c r="G4"/>
      <c r="H4"/>
    </row>
    <row r="5" spans="2:8" x14ac:dyDescent="0.25">
      <c r="B5"/>
      <c r="C5"/>
      <c r="D5"/>
      <c r="E5"/>
      <c r="F5"/>
      <c r="G5"/>
      <c r="H5"/>
    </row>
    <row r="6" spans="2:8" x14ac:dyDescent="0.25">
      <c r="B6" s="1" t="str">
        <f>ÍNDICE!B6</f>
        <v>NOME DA EMPRESA</v>
      </c>
      <c r="C6"/>
      <c r="D6"/>
      <c r="E6"/>
      <c r="F6"/>
      <c r="G6"/>
      <c r="H6"/>
    </row>
    <row r="7" spans="2:8" x14ac:dyDescent="0.25">
      <c r="B7" s="2" t="s">
        <v>15</v>
      </c>
      <c r="C7"/>
      <c r="D7"/>
      <c r="E7"/>
      <c r="F7"/>
      <c r="G7"/>
      <c r="H7"/>
    </row>
    <row r="8" spans="2:8" x14ac:dyDescent="0.25">
      <c r="B8" s="3"/>
      <c r="C8" s="3"/>
      <c r="D8" s="3"/>
      <c r="E8" s="3"/>
      <c r="F8" s="3"/>
      <c r="G8" s="3"/>
      <c r="H8" s="3"/>
    </row>
    <row r="9" spans="2:8" x14ac:dyDescent="0.25">
      <c r="B9" s="6"/>
      <c r="C9" s="6">
        <f t="shared" ref="C9:H9" si="0">SUBTOTAL(9,C12:C1048576)</f>
        <v>0</v>
      </c>
      <c r="D9" s="6">
        <f t="shared" si="0"/>
        <v>0</v>
      </c>
      <c r="E9" s="6">
        <f t="shared" si="0"/>
        <v>0</v>
      </c>
      <c r="F9" s="6">
        <f t="shared" si="0"/>
        <v>0</v>
      </c>
      <c r="G9" s="6">
        <f t="shared" si="0"/>
        <v>0</v>
      </c>
      <c r="H9" s="6">
        <f t="shared" si="0"/>
        <v>0</v>
      </c>
    </row>
    <row r="10" spans="2:8" hidden="1" outlineLevel="1" x14ac:dyDescent="0.25">
      <c r="B10"/>
      <c r="C10" s="9" t="s">
        <v>4</v>
      </c>
      <c r="D10" s="9" t="s">
        <v>5</v>
      </c>
      <c r="E10" s="9" t="s">
        <v>6</v>
      </c>
      <c r="F10" s="9" t="s">
        <v>7</v>
      </c>
      <c r="G10" s="9" t="s">
        <v>8</v>
      </c>
      <c r="H10" s="9" t="s">
        <v>9</v>
      </c>
    </row>
    <row r="11" spans="2:8" collapsed="1" x14ac:dyDescent="0.25">
      <c r="B11" s="7" t="s">
        <v>2</v>
      </c>
      <c r="C11" s="7" t="s">
        <v>10</v>
      </c>
      <c r="D11" s="7" t="s">
        <v>11</v>
      </c>
      <c r="E11" s="7" t="s">
        <v>12</v>
      </c>
      <c r="F11" s="8" t="s">
        <v>3</v>
      </c>
      <c r="G11" s="8" t="s">
        <v>13</v>
      </c>
      <c r="H11" s="8" t="s">
        <v>14</v>
      </c>
    </row>
    <row r="12">
      <c r="B12" s="32">
        <v>45444.000000</v>
      </c>
      <c r="C12">
        <f>=SOMASE(B12,M12,E12:E1000000)</f>
      </c>
    </row>
  </sheetData>
  <autoFilter ref="B11:H11" xr:uid="{A1CC6448-0847-4378-83A9-5E7D37FE6577}"/>
  <dataConsolidate/>
  <conditionalFormatting sqref="C9:H9">
    <cfRule type="expression" dxfId="2" priority="2">
      <formula>ISERROR($D$9:$H$1048576)=FALSE</formula>
    </cfRule>
  </conditionalFormatting>
  <conditionalFormatting sqref="C12:H1048575">
    <cfRule type="expression" dxfId="1" priority="1">
      <formula>ISERROR($E$14:$H$1048576)=FALSE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2BC0-4278-4F44-9FC0-240A77160DE8}">
  <sheetPr codeName="Sheet4"/>
  <dimension ref="B1:M12"/>
  <sheetViews>
    <sheetView showGridLines="0" zoomScale="80" zoomScaleNormal="80" workbookViewId="0">
      <selection activeCell="B11" sqref="B11"/>
    </sheetView>
  </sheetViews>
  <sheetFormatPr defaultRowHeight="15" outlineLevelRow="1" x14ac:dyDescent="0.25"/>
  <cols>
    <col min="1" max="1" width="2.5703125" customWidth="1"/>
    <col min="2" max="2" width="20.5703125" style="5" customWidth="1"/>
    <col min="3" max="3" width="50.5703125" style="5" customWidth="1"/>
    <col min="4" max="4" width="30.5703125" style="5" customWidth="1"/>
    <col min="5" max="9" width="20.5703125" style="5" customWidth="1"/>
    <col min="10" max="12" width="30.5703125" customWidth="1"/>
    <col min="13" max="13" width="9.85546875" hidden="1" customWidth="1"/>
  </cols>
  <sheetData>
    <row r="1" spans="2:13" x14ac:dyDescent="0.25">
      <c r="B1"/>
      <c r="C1"/>
      <c r="D1"/>
      <c r="E1"/>
      <c r="F1"/>
      <c r="G1"/>
      <c r="H1"/>
      <c r="I1"/>
    </row>
    <row r="2" spans="2:13" x14ac:dyDescent="0.25">
      <c r="B2"/>
      <c r="C2"/>
      <c r="D2"/>
      <c r="E2"/>
      <c r="F2"/>
      <c r="G2"/>
      <c r="H2"/>
      <c r="I2"/>
    </row>
    <row r="3" spans="2:13" x14ac:dyDescent="0.25">
      <c r="B3"/>
      <c r="C3"/>
      <c r="D3"/>
      <c r="E3"/>
      <c r="F3"/>
      <c r="G3"/>
      <c r="H3"/>
      <c r="I3"/>
    </row>
    <row r="4" spans="2:13" x14ac:dyDescent="0.25">
      <c r="B4"/>
      <c r="C4"/>
      <c r="D4"/>
      <c r="E4"/>
      <c r="F4"/>
      <c r="G4"/>
      <c r="H4"/>
      <c r="I4"/>
    </row>
    <row r="5" spans="2:13" x14ac:dyDescent="0.25">
      <c r="B5"/>
      <c r="C5"/>
      <c r="D5"/>
      <c r="E5"/>
      <c r="F5"/>
      <c r="G5"/>
      <c r="H5"/>
      <c r="I5"/>
    </row>
    <row r="6" spans="2:13" x14ac:dyDescent="0.25">
      <c r="B6" s="1" t="str">
        <f>ÍNDICE!B6</f>
        <v>NOME DA EMPRESA</v>
      </c>
      <c r="C6"/>
      <c r="D6"/>
      <c r="E6"/>
      <c r="F6"/>
      <c r="G6"/>
      <c r="H6"/>
      <c r="I6"/>
    </row>
    <row r="7" spans="2:13" x14ac:dyDescent="0.25">
      <c r="B7" s="2" t="s">
        <v>15</v>
      </c>
      <c r="C7"/>
      <c r="D7"/>
      <c r="E7"/>
      <c r="F7"/>
      <c r="G7"/>
      <c r="H7"/>
      <c r="I7"/>
    </row>
    <row r="8" spans="2:13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2:13" x14ac:dyDescent="0.25">
      <c r="C9" s="6"/>
      <c r="D9" s="6"/>
      <c r="E9" s="6">
        <f>SUBTOTAL(9,E12:E1048576)</f>
        <v>0</v>
      </c>
      <c r="F9" s="6"/>
      <c r="G9" s="6">
        <f>SUBTOTAL(9,G12:G1048576)</f>
        <v>0</v>
      </c>
      <c r="H9" s="6"/>
      <c r="I9" s="6">
        <f>SUBTOTAL(9,I12:I1048576)</f>
        <v>0</v>
      </c>
      <c r="J9" s="6">
        <f>SUBTOTAL(9,J12:J1048576)</f>
        <v>0</v>
      </c>
      <c r="K9" s="6">
        <f>SUBTOTAL(9,K12:K1048576)</f>
        <v>0</v>
      </c>
      <c r="L9" s="6">
        <f>SUBTOTAL(9,L12:L1048576)</f>
        <v>0</v>
      </c>
    </row>
    <row r="10" spans="2:13" hidden="1" outlineLevel="1" x14ac:dyDescent="0.25">
      <c r="C10" s="9" t="s">
        <v>4</v>
      </c>
      <c r="D10" s="9"/>
      <c r="E10" s="9" t="s">
        <v>5</v>
      </c>
      <c r="F10" s="9" t="s">
        <v>6</v>
      </c>
      <c r="G10" s="9" t="s">
        <v>18</v>
      </c>
      <c r="H10" s="9" t="s">
        <v>19</v>
      </c>
      <c r="I10" s="9" t="s">
        <v>20</v>
      </c>
    </row>
    <row r="11" spans="2:13" collapsed="1" x14ac:dyDescent="0.25">
      <c r="B11" s="7" t="s">
        <v>2</v>
      </c>
      <c r="C11" s="7" t="s">
        <v>16</v>
      </c>
      <c r="D11" s="7" t="s">
        <v>26</v>
      </c>
      <c r="E11" s="7" t="s">
        <v>17</v>
      </c>
      <c r="F11" s="7" t="s">
        <v>11</v>
      </c>
      <c r="G11" s="7" t="s">
        <v>24</v>
      </c>
      <c r="H11" s="7" t="s">
        <v>12</v>
      </c>
      <c r="I11" s="7" t="s">
        <v>25</v>
      </c>
      <c r="J11" s="8" t="s">
        <v>3</v>
      </c>
      <c r="K11" s="8" t="s">
        <v>13</v>
      </c>
      <c r="L11" s="8" t="s">
        <v>14</v>
      </c>
      <c r="M11" s="7" t="s">
        <v>160</v>
      </c>
    </row>
    <row r="12" spans="2:13" x14ac:dyDescent="0.25">
      <c r="J12" s="12"/>
    </row>
  </sheetData>
  <autoFilter ref="B11:L11" xr:uid="{86902BC0-4278-4F44-9FC0-240A77160DE8}"/>
  <conditionalFormatting sqref="E9:L1048575">
    <cfRule type="expression" dxfId="0" priority="4">
      <formula>ISERROR($E$9:$L$1048576)=FALSE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ÍNDICE</vt:lpstr>
      <vt:lpstr>PARÂMETROS</vt:lpstr>
      <vt:lpstr>CFOP Considerados</vt:lpstr>
      <vt:lpstr>CONFRONTO - ANUAL</vt:lpstr>
      <vt:lpstr>CONFRONTO - TRIMESTRAL</vt:lpstr>
      <vt:lpstr>CONFRONTO - CONSOLIDAÇÃO</vt:lpstr>
      <vt:lpstr>CONFRONTO - ANALITICO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Jeovana Kitagaki</dc:creator>
  <cp:lastModifiedBy>Pedro Dutra</cp:lastModifiedBy>
  <dcterms:created xsi:type="dcterms:W3CDTF">2023-09-20T18:26:05Z</dcterms:created>
  <dcterms:modified xsi:type="dcterms:W3CDTF">2025-02-21T12:18:49Z</dcterms:modified>
</cp:coreProperties>
</file>