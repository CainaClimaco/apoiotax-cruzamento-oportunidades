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\cruzamentos_sped_nfe\src\assets\templates\"/>
    </mc:Choice>
  </mc:AlternateContent>
  <xr:revisionPtr revIDLastSave="0" documentId="13_ncr:1_{7D066F71-6DFD-4014-85DE-A0490226AF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1" r:id="rId1"/>
    <sheet name="RESUMO" sheetId="2" r:id="rId2"/>
    <sheet name="DETALHES" sheetId="3" r:id="rId3"/>
    <sheet name="ORFAOS" sheetId="4" r:id="rId4"/>
  </sheets>
  <definedNames>
    <definedName name="_xlnm._FilterDatabase" localSheetId="2" hidden="1">DETALHES!$B$11:$X$11</definedName>
    <definedName name="_xlnm._FilterDatabase" localSheetId="3" hidden="1">ORFAOS!$B$11:$I$11</definedName>
    <definedName name="_xlnm._FilterDatabase" localSheetId="1" hidden="1">RESUMO!$B$11:$P$11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7" i="3"/>
  <c r="B7" i="2"/>
</calcChain>
</file>

<file path=xl/sharedStrings.xml><?xml version="1.0" encoding="utf-8"?>
<sst xmlns="http://schemas.openxmlformats.org/spreadsheetml/2006/main" count="55" uniqueCount="45">
  <si>
    <t>EMPRESA</t>
  </si>
  <si>
    <t>CNPJ</t>
  </si>
  <si>
    <t>REGIME_TRIBUTARIO</t>
  </si>
  <si>
    <t>PERIODO_INI</t>
  </si>
  <si>
    <t>PERIODO_FIM</t>
  </si>
  <si>
    <t>TOTAL_NFS_ANALISADAS</t>
  </si>
  <si>
    <t>TOTAL_ITENS_CRUZADOS</t>
  </si>
  <si>
    <t>TOTAL_ITENS_USO_CONSUMO</t>
  </si>
  <si>
    <t>TOTAL_ELEGIVEL</t>
  </si>
  <si>
    <t>TOTAL_REVISAO</t>
  </si>
  <si>
    <t>TOTAL_NAO_ELEGIVEL</t>
  </si>
  <si>
    <t>TOTAL_ORFAOS</t>
  </si>
  <si>
    <t>VL_CREDITO_PIS</t>
  </si>
  <si>
    <t>VL_CREDITO_COFINS</t>
  </si>
  <si>
    <t>VL_CREDITO_TOTAL</t>
  </si>
  <si>
    <t>DETALHES — ITENS DE USO &amp; CONSUMO ANALISADOS</t>
  </si>
  <si>
    <t>CHAVE_NF (JOIN_KEY)</t>
  </si>
  <si>
    <t>CHV_NFE</t>
  </si>
  <si>
    <t>COD_PART</t>
  </si>
  <si>
    <t>RAZAO_SOCIAL</t>
  </si>
  <si>
    <t>CNPJ_EMIT</t>
  </si>
  <si>
    <t>NUM_DOC</t>
  </si>
  <si>
    <t>SER</t>
  </si>
  <si>
    <t>DT_DOC</t>
  </si>
  <si>
    <t>CFOP</t>
  </si>
  <si>
    <t>DESCR_COMPL</t>
  </si>
  <si>
    <t>CST_PIS</t>
  </si>
  <si>
    <t>CST_COFINS</t>
  </si>
  <si>
    <t>ALIQ_PIS (%)</t>
  </si>
  <si>
    <t>ALIQ_COFINS (%)</t>
  </si>
  <si>
    <t>VL_ITEM</t>
  </si>
  <si>
    <t>VL_BC_PIS</t>
  </si>
  <si>
    <t>VL_BC_COFINS</t>
  </si>
  <si>
    <t>ELEGIBILIDADE</t>
  </si>
  <si>
    <t>OBSERVACOES</t>
  </si>
  <si>
    <t>CHAVE_NF</t>
  </si>
  <si>
    <t>VL_DOC</t>
  </si>
  <si>
    <t>OBRIGACAO_FALTANTE</t>
  </si>
  <si>
    <t>APTER</t>
  </si>
  <si>
    <t>Índice</t>
  </si>
  <si>
    <t>SHEET</t>
  </si>
  <si>
    <t>Resumo</t>
  </si>
  <si>
    <t>Detalhamento</t>
  </si>
  <si>
    <t>Não conciliados</t>
  </si>
  <si>
    <t>COD_ITEM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</si>
</sst>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641E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9" fontId="3" fillId="2" borderId="0" xfId="0" applyNumberFormat="1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5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287283</xdr:colOff>
      <xdr:row>3</xdr:row>
      <xdr:rowOff>116400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FBA95AD-7313-4E76-8058-56258ECB6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33683" cy="668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636533</xdr:colOff>
      <xdr:row>3</xdr:row>
      <xdr:rowOff>116400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1C7BC4-1D03-491B-B8F7-AFF8448DC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32096" cy="6640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819096</xdr:colOff>
      <xdr:row>3</xdr:row>
      <xdr:rowOff>116400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0001AD0-0471-4A16-98F4-F6E466A537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32096" cy="664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819096</xdr:colOff>
      <xdr:row>3</xdr:row>
      <xdr:rowOff>116400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66E42EB-416E-4647-B7F1-F66295135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32096" cy="664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B14"/>
  <sheetViews>
    <sheetView showGridLines="0" tabSelected="1" zoomScale="80" zoomScaleNormal="80" workbookViewId="0">
      <selection activeCell="B11" sqref="B11"/>
    </sheetView>
  </sheetViews>
  <sheetFormatPr defaultRowHeight="14.5" customHeight="1" x14ac:dyDescent="0.35"/>
  <cols>
    <col min="1" max="1" width="2.6328125" customWidth="1"/>
    <col min="2" max="2" width="22" customWidth="1"/>
  </cols>
  <sheetData>
    <row r="7" spans="2:2" ht="14.5" customHeight="1" x14ac:dyDescent="0.35">
      <c r="B7" s="1" t="s">
        <v>38</v>
      </c>
    </row>
    <row r="8" spans="2:2" ht="14.5" customHeight="1" x14ac:dyDescent="0.35">
      <c r="B8" s="2" t="s">
        <v>39</v>
      </c>
    </row>
    <row r="9" spans="2:2" ht="14.5" customHeight="1" x14ac:dyDescent="0.35">
      <c r="B9" s="3"/>
    </row>
    <row r="10" spans="2:2" ht="14.5" customHeight="1" x14ac:dyDescent="0.35">
      <c r="B10" s="4"/>
    </row>
    <row r="11" spans="2:2" ht="14.5" customHeight="1" x14ac:dyDescent="0.35">
      <c r="B11" s="5" t="s">
        <v>40</v>
      </c>
    </row>
    <row r="12" spans="2:2" ht="14.5" customHeight="1" x14ac:dyDescent="0.35">
      <c r="B12" s="6" t="s">
        <v>41</v>
      </c>
    </row>
    <row r="13" spans="2:2" ht="14.5" customHeight="1" x14ac:dyDescent="0.35">
      <c r="B13" s="6" t="s">
        <v>42</v>
      </c>
    </row>
    <row r="14" spans="2:2" ht="14.5" customHeight="1" x14ac:dyDescent="0.35">
      <c r="B14" s="6" t="s">
        <v>43</v>
      </c>
    </row>
  </sheetData>
  <hyperlinks>
    <hyperlink ref="B13" location="DETALHES!A1" display="Detalhamento" xr:uid="{920FA486-F3C8-452B-85B8-4AA71CC5AA7C}"/>
    <hyperlink ref="B14" location="ORFAOS!A1" display="Não conciliados" xr:uid="{0F32F8B3-3A62-40B5-9B05-6ACF2E6B40F3}"/>
    <hyperlink ref="B12" location="RESUMO!A1" display="Resumo" xr:uid="{30E7EF1B-47F9-4BD6-A111-5B3BE87FB17F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11"/>
  <sheetViews>
    <sheetView showGridLines="0" zoomScale="80" zoomScaleNormal="80" workbookViewId="0">
      <selection activeCell="B11" sqref="B11"/>
    </sheetView>
  </sheetViews>
  <sheetFormatPr defaultRowHeight="14.5" x14ac:dyDescent="0.35"/>
  <cols>
    <col min="1" max="1" width="2.6328125" customWidth="1"/>
    <col min="2" max="2" width="20.08984375" bestFit="1" customWidth="1"/>
    <col min="3" max="3" width="14.453125" bestFit="1" customWidth="1"/>
    <col min="4" max="4" width="23.36328125" bestFit="1" customWidth="1"/>
    <col min="5" max="5" width="16.08984375" bestFit="1" customWidth="1"/>
    <col min="6" max="6" width="16.90625" bestFit="1" customWidth="1"/>
    <col min="7" max="7" width="26.90625" bestFit="1" customWidth="1"/>
    <col min="8" max="8" width="25.54296875" bestFit="1" customWidth="1"/>
    <col min="9" max="9" width="30.1796875" bestFit="1" customWidth="1"/>
    <col min="10" max="10" width="19.26953125" bestFit="1" customWidth="1"/>
    <col min="11" max="11" width="18.90625" bestFit="1" customWidth="1"/>
    <col min="12" max="12" width="24.1796875" bestFit="1" customWidth="1"/>
    <col min="13" max="13" width="18.6328125" bestFit="1" customWidth="1"/>
    <col min="14" max="14" width="19.08984375" bestFit="1" customWidth="1"/>
    <col min="15" max="15" width="22.90625" bestFit="1" customWidth="1"/>
    <col min="16" max="16" width="22.08984375" bestFit="1" customWidth="1"/>
    <col min="17" max="17" width="22" customWidth="1"/>
  </cols>
  <sheetData>
    <row r="7" spans="2:16" x14ac:dyDescent="0.35">
      <c r="B7" s="1" t="str">
        <f>ÍNDICE!B7</f>
        <v>APTER</v>
      </c>
    </row>
    <row r="8" spans="2:16" x14ac:dyDescent="0.35">
      <c r="B8" s="2" t="s">
        <v>41</v>
      </c>
    </row>
    <row r="9" spans="2:16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2:16" x14ac:dyDescent="0.35">
      <c r="B10" s="4"/>
    </row>
    <row r="11" spans="2:16" x14ac:dyDescent="0.3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  <c r="I11" s="5" t="s">
        <v>7</v>
      </c>
      <c r="J11" s="5" t="s">
        <v>8</v>
      </c>
      <c r="K11" s="5" t="s">
        <v>9</v>
      </c>
      <c r="L11" s="5" t="s">
        <v>10</v>
      </c>
      <c r="M11" s="5" t="s">
        <v>11</v>
      </c>
      <c r="N11" s="5" t="s">
        <v>12</v>
      </c>
      <c r="O11" s="5" t="s">
        <v>13</v>
      </c>
      <c r="P11" s="5" t="s">
        <v>14</v>
      </c>
    </row>
  </sheetData>
  <autoFilter ref="B11:P11" xr:uid="{00000000-0001-0000-0100-000000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:X11"/>
  <sheetViews>
    <sheetView showGridLines="0" zoomScale="80" zoomScaleNormal="80" workbookViewId="0">
      <selection activeCell="B11" sqref="B11"/>
    </sheetView>
  </sheetViews>
  <sheetFormatPr defaultRowHeight="14.5" x14ac:dyDescent="0.35"/>
  <cols>
    <col min="1" max="1" width="2.6328125" customWidth="1"/>
    <col min="2" max="2" width="18" customWidth="1"/>
    <col min="3" max="3" width="14" customWidth="1"/>
    <col min="4" max="4" width="12" customWidth="1"/>
    <col min="5" max="5" width="30" customWidth="1"/>
    <col min="6" max="6" width="18" customWidth="1"/>
    <col min="7" max="7" width="12" customWidth="1"/>
    <col min="8" max="8" width="6" customWidth="1"/>
    <col min="9" max="9" width="12" customWidth="1"/>
    <col min="10" max="11" width="8" customWidth="1"/>
    <col min="12" max="12" width="30" customWidth="1"/>
    <col min="13" max="13" width="10" customWidth="1"/>
    <col min="14" max="14" width="12" customWidth="1"/>
    <col min="15" max="21" width="14" customWidth="1"/>
    <col min="22" max="23" width="16" customWidth="1"/>
    <col min="24" max="24" width="40" customWidth="1"/>
  </cols>
  <sheetData>
    <row r="7" spans="2:24" x14ac:dyDescent="0.35">
      <c r="B7" s="1" t="str">
        <f>ÍNDICE!B7</f>
        <v>APTER</v>
      </c>
    </row>
    <row r="8" spans="2:24" x14ac:dyDescent="0.35">
      <c r="B8" s="2" t="s">
        <v>15</v>
      </c>
    </row>
    <row r="9" spans="2:24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 x14ac:dyDescent="0.35">
      <c r="B10" s="4"/>
    </row>
    <row r="11" spans="2:24" x14ac:dyDescent="0.35"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5" t="s">
        <v>44</v>
      </c>
      <c r="L11" s="5" t="s">
        <v>25</v>
      </c>
      <c r="M11" s="5" t="s">
        <v>26</v>
      </c>
      <c r="N11" s="5" t="s">
        <v>27</v>
      </c>
      <c r="O11" s="5" t="s">
        <v>28</v>
      </c>
      <c r="P11" s="5" t="s">
        <v>29</v>
      </c>
      <c r="Q11" s="5" t="s">
        <v>30</v>
      </c>
      <c r="R11" s="5" t="s">
        <v>31</v>
      </c>
      <c r="S11" s="5" t="s">
        <v>32</v>
      </c>
      <c r="T11" s="5" t="s">
        <v>33</v>
      </c>
      <c r="U11" s="5" t="s">
        <v>12</v>
      </c>
      <c r="V11" s="5" t="s">
        <v>13</v>
      </c>
      <c r="W11" s="5" t="s">
        <v>14</v>
      </c>
      <c r="X11" s="5" t="s">
        <v>34</v>
      </c>
    </row>
  </sheetData>
  <autoFilter ref="B11:X11" xr:uid="{00000000-0001-0000-0200-000000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I11"/>
  <sheetViews>
    <sheetView showGridLines="0" zoomScale="80" zoomScaleNormal="80" workbookViewId="0">
      <selection activeCell="B11" sqref="B11"/>
    </sheetView>
  </sheetViews>
  <sheetFormatPr defaultRowHeight="14.5" x14ac:dyDescent="0.35"/>
  <cols>
    <col min="1" max="1" width="2.6328125" customWidth="1"/>
    <col min="2" max="2" width="18" customWidth="1"/>
    <col min="3" max="3" width="14" customWidth="1"/>
    <col min="4" max="5" width="12" customWidth="1"/>
    <col min="6" max="6" width="7" bestFit="1" customWidth="1"/>
    <col min="7" max="7" width="12" customWidth="1"/>
    <col min="8" max="8" width="14" customWidth="1"/>
    <col min="9" max="9" width="30" customWidth="1"/>
  </cols>
  <sheetData>
    <row r="7" spans="2:9" x14ac:dyDescent="0.35">
      <c r="B7" s="1" t="str">
        <f>ÍNDICE!B7</f>
        <v>APTER</v>
      </c>
    </row>
    <row r="8" spans="2:9" x14ac:dyDescent="0.35">
      <c r="B8" s="2" t="s">
        <v>15</v>
      </c>
    </row>
    <row r="9" spans="2:9" x14ac:dyDescent="0.35">
      <c r="B9" s="3"/>
      <c r="C9" s="3"/>
      <c r="D9" s="3"/>
      <c r="E9" s="3"/>
      <c r="F9" s="3"/>
      <c r="G9" s="3"/>
      <c r="H9" s="3"/>
      <c r="I9" s="3"/>
    </row>
    <row r="10" spans="2:9" x14ac:dyDescent="0.35">
      <c r="B10" s="4"/>
    </row>
    <row r="11" spans="2:9" x14ac:dyDescent="0.35">
      <c r="B11" s="5" t="s">
        <v>35</v>
      </c>
      <c r="C11" s="5" t="s">
        <v>17</v>
      </c>
      <c r="D11" s="5" t="s">
        <v>18</v>
      </c>
      <c r="E11" s="5" t="s">
        <v>21</v>
      </c>
      <c r="F11" s="5" t="s">
        <v>22</v>
      </c>
      <c r="G11" s="5" t="s">
        <v>23</v>
      </c>
      <c r="H11" s="5" t="s">
        <v>36</v>
      </c>
      <c r="I11" s="5" t="s">
        <v>37</v>
      </c>
    </row>
  </sheetData>
  <autoFilter ref="B11:I11" xr:uid="{00000000-0001-0000-03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ÍNDICE</vt:lpstr>
      <vt:lpstr>RESUMO</vt:lpstr>
      <vt:lpstr>DETALHES</vt:lpstr>
      <vt:lpstr>ORFAOS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Cainã Clímaco</cp:lastModifiedBy>
  <dcterms:created xsi:type="dcterms:W3CDTF">2026-04-15T21:38:35Z</dcterms:created>
  <dcterms:modified xsi:type="dcterms:W3CDTF">2026-04-16T20:26:08Z</dcterms:modified>
</cp:coreProperties>
</file>